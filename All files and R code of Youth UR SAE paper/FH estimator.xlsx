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S Lab 2026-2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6" i="1" l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0" i="1"/>
  <c r="Q38" i="1"/>
  <c r="Q37" i="1"/>
  <c r="Q36" i="1"/>
  <c r="Q35" i="1"/>
  <c r="Q34" i="1"/>
  <c r="Q33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<sst xmlns="http://schemas.openxmlformats.org/spreadsheetml/2006/main" count="118" uniqueCount="95">
  <si>
    <t>District_Code</t>
  </si>
  <si>
    <t>District_Name</t>
  </si>
  <si>
    <t>Sample_Size</t>
  </si>
  <si>
    <t>Direct_UR</t>
  </si>
  <si>
    <t>Direct_SE</t>
  </si>
  <si>
    <t>Direct_Var</t>
  </si>
  <si>
    <t>Direct_CV</t>
  </si>
  <si>
    <t>Mean_NTL</t>
  </si>
  <si>
    <t>Urbanization_Rate</t>
  </si>
  <si>
    <t>Total_Literacy</t>
  </si>
  <si>
    <t>SC_Proportion</t>
  </si>
  <si>
    <t>ST_Proportion</t>
  </si>
  <si>
    <t>MGNREGA_Intensity</t>
  </si>
  <si>
    <t>Active_Worker_Rate</t>
  </si>
  <si>
    <t>FH_Estimate</t>
  </si>
  <si>
    <t>FH_MSE</t>
  </si>
  <si>
    <t>FH_RMSE</t>
  </si>
  <si>
    <t>FH_CV</t>
  </si>
  <si>
    <t>Synthetic_Estimate</t>
  </si>
  <si>
    <t>Saharanpur</t>
  </si>
  <si>
    <t>Muzaffarnagar</t>
  </si>
  <si>
    <t>Bijnor</t>
  </si>
  <si>
    <t>Moradabad</t>
  </si>
  <si>
    <t>Rampur</t>
  </si>
  <si>
    <t>Amroha</t>
  </si>
  <si>
    <t>Meerut</t>
  </si>
  <si>
    <t>Baghpat</t>
  </si>
  <si>
    <t>Ghaziabad</t>
  </si>
  <si>
    <t>Gautam Buddha Nagar</t>
  </si>
  <si>
    <t>Bulandshahr</t>
  </si>
  <si>
    <t>Aligarh</t>
  </si>
  <si>
    <t>Hathras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</si>
  <si>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</si>
  <si>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</si>
  <si>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</si>
  <si>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</si>
  <si>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</si>
  <si>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</si>
  <si>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</si>
  <si>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</si>
  <si>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Lakhimpur 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</si>
  <si>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</si>
  <si>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</si>
  <si>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</si>
  <si>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</si>
  <si>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</si>
  <si>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</si>
  <si>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</si>
  <si>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</si>
  <si>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</si>
  <si>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NA</t>
  </si>
  <si>
    <t>Kanpur Dehat</t>
  </si>
  <si>
    <t>Kanpur Nagar</t>
  </si>
  <si>
    <t>Jalaun</t>
  </si>
  <si>
    <t>Jhansi</t>
  </si>
  <si>
    <t>Lalitpur</t>
  </si>
  <si>
    <t>Hamirpur</t>
  </si>
  <si>
    <t>Mahoba</t>
  </si>
  <si>
    <t>Banda</t>
  </si>
  <si>
    <t>Chitrakoot</t>
  </si>
  <si>
    <t>Fatehpur</t>
  </si>
  <si>
    <t>Pratapgarh</t>
  </si>
  <si>
    <t>Kaushambi</t>
  </si>
  <si>
    <t>Allahabad</t>
  </si>
  <si>
    <t>Barabanki</t>
  </si>
  <si>
    <t>Faizabad</t>
  </si>
  <si>
    <t>Ambedkar Nagar</t>
  </si>
  <si>
    <t>Sultanpur</t>
  </si>
  <si>
    <t>Bahraich</t>
  </si>
  <si>
    <t>Shravasti</t>
  </si>
  <si>
    <t>Balrampur</t>
  </si>
  <si>
    <t>Gonda</t>
  </si>
  <si>
    <t>Siddharth Nagar</t>
  </si>
  <si>
    <t>Basti</t>
  </si>
  <si>
    <t>Sant Kabir Nagar</t>
  </si>
  <si>
    <t>Maharajganj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</si>
  <si>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</si>
  <si>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</si>
  <si>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</si>
  <si>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</si>
  <si>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</si>
  <si>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</si>
  <si>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</si>
  <si>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</si>
  <si>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</si>
  <si>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</si>
  <si>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 Das Nagar</t>
  </si>
  <si>
    <t>Mirzapur</t>
  </si>
  <si>
    <t>Sonbhadra</t>
  </si>
  <si>
    <t>Etah</t>
  </si>
  <si>
    <t>Kasganj</t>
  </si>
  <si>
    <t>Shamli</t>
  </si>
  <si>
    <t>Hapur</t>
  </si>
  <si>
    <t>Sambhal</t>
  </si>
  <si>
    <t>Amethi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</si>
</sst>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6"/>
  <sheetViews>
    <sheetView tabSelected="1" workbookViewId="0">
      <selection activeCell="T9" sqref="T9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1</v>
      </c>
      <c r="B2" s="2" t="s">
        <v>19</v>
      </c>
      <c r="C2" s="2">
        <v>111</v>
      </c>
      <c r="D2" s="2">
        <v>9.85</v>
      </c>
      <c r="E2" s="2">
        <v>4.22</v>
      </c>
      <c r="F2" s="2">
        <v>17.78</v>
      </c>
      <c r="G2" s="2">
        <v>42.79</v>
      </c>
      <c r="H2" s="2">
        <v>2.0099999999999998</v>
      </c>
      <c r="I2" s="2">
        <v>30.77</v>
      </c>
      <c r="J2" s="2">
        <v>70.489999999999995</v>
      </c>
      <c r="K2" s="2">
        <v>22.05</v>
      </c>
      <c r="L2" s="2">
        <v>0.03</v>
      </c>
      <c r="M2" s="2">
        <v>9.64</v>
      </c>
      <c r="N2" s="2">
        <v>43.65</v>
      </c>
      <c r="O2" s="2">
        <v>11.11</v>
      </c>
      <c r="P2" s="2">
        <v>14.71</v>
      </c>
      <c r="Q2" s="2">
        <f>SQRT(P2)</f>
        <v>3.8353617821530213</v>
      </c>
      <c r="R2" s="2">
        <v>34.532961197706101</v>
      </c>
      <c r="S2" s="2">
        <v>15.73</v>
      </c>
    </row>
    <row r="3" spans="1:19" x14ac:dyDescent="0.25">
      <c r="A3" s="2">
        <v>2</v>
      </c>
      <c r="B3" s="2" t="s">
        <v>20</v>
      </c>
      <c r="C3" s="2">
        <v>87</v>
      </c>
      <c r="D3" s="2">
        <v>8.27</v>
      </c>
      <c r="E3" s="2">
        <v>3.34</v>
      </c>
      <c r="F3" s="2">
        <v>11.18</v>
      </c>
      <c r="G3" s="2">
        <v>40.44</v>
      </c>
      <c r="H3" s="2">
        <v>2.15</v>
      </c>
      <c r="I3" s="2">
        <v>28.75</v>
      </c>
      <c r="J3" s="2">
        <v>69.12</v>
      </c>
      <c r="K3" s="2">
        <v>13.55</v>
      </c>
      <c r="L3" s="2">
        <v>0.01</v>
      </c>
      <c r="M3" s="2">
        <v>11.68</v>
      </c>
      <c r="N3" s="2">
        <v>27.87</v>
      </c>
      <c r="O3" s="2">
        <v>8.7200000000000006</v>
      </c>
      <c r="P3" s="2">
        <v>9.99</v>
      </c>
      <c r="Q3" s="2">
        <f t="shared" ref="Q3:Q66" si="0">SQRT(P3)</f>
        <v>3.1606961258558215</v>
      </c>
      <c r="R3" s="2">
        <v>36.273375158471502</v>
      </c>
      <c r="S3" s="2">
        <v>11.36</v>
      </c>
    </row>
    <row r="4" spans="1:19" x14ac:dyDescent="0.25">
      <c r="A4" s="2">
        <v>3</v>
      </c>
      <c r="B4" s="2" t="s">
        <v>21</v>
      </c>
      <c r="C4" s="2">
        <v>69</v>
      </c>
      <c r="D4" s="2">
        <v>23.37</v>
      </c>
      <c r="E4" s="2">
        <v>6.61</v>
      </c>
      <c r="F4" s="2">
        <v>43.75</v>
      </c>
      <c r="G4" s="2">
        <v>28.3</v>
      </c>
      <c r="H4" s="2">
        <v>1.44</v>
      </c>
      <c r="I4" s="2">
        <v>25.13</v>
      </c>
      <c r="J4" s="2">
        <v>68.48</v>
      </c>
      <c r="K4" s="2">
        <v>21.38</v>
      </c>
      <c r="L4" s="2">
        <v>0.08</v>
      </c>
      <c r="M4" s="2">
        <v>8.9600000000000009</v>
      </c>
      <c r="N4" s="2">
        <v>56.96</v>
      </c>
      <c r="O4" s="2">
        <v>20.89</v>
      </c>
      <c r="P4" s="2">
        <v>28.96</v>
      </c>
      <c r="Q4" s="2">
        <f t="shared" si="0"/>
        <v>5.3814496188294845</v>
      </c>
      <c r="R4" s="2">
        <v>25.764901725075401</v>
      </c>
      <c r="S4" s="2">
        <v>17.149999999999999</v>
      </c>
    </row>
    <row r="5" spans="1:19" x14ac:dyDescent="0.25">
      <c r="A5" s="2">
        <v>4</v>
      </c>
      <c r="B5" s="2" t="s">
        <v>22</v>
      </c>
      <c r="C5" s="2">
        <v>93</v>
      </c>
      <c r="D5" s="2">
        <v>16.78</v>
      </c>
      <c r="E5" s="2">
        <v>5.78</v>
      </c>
      <c r="F5" s="2">
        <v>33.39</v>
      </c>
      <c r="G5" s="2">
        <v>34.44</v>
      </c>
      <c r="H5" s="2">
        <v>2.66</v>
      </c>
      <c r="I5" s="2">
        <v>32.979999999999997</v>
      </c>
      <c r="J5" s="2">
        <v>56.77</v>
      </c>
      <c r="K5" s="2">
        <v>7.69</v>
      </c>
      <c r="L5" s="2">
        <v>0.01</v>
      </c>
      <c r="M5" s="2">
        <v>14.72</v>
      </c>
      <c r="N5" s="2">
        <v>46.38</v>
      </c>
      <c r="O5" s="2">
        <v>16.02</v>
      </c>
      <c r="P5" s="2">
        <v>24.72</v>
      </c>
      <c r="Q5" s="2">
        <f t="shared" si="0"/>
        <v>4.9719211578624209</v>
      </c>
      <c r="R5" s="2">
        <v>31.026856141057301</v>
      </c>
      <c r="S5" s="2">
        <v>14.54</v>
      </c>
    </row>
    <row r="6" spans="1:19" x14ac:dyDescent="0.25">
      <c r="A6" s="2">
        <v>5</v>
      </c>
      <c r="B6" s="2" t="s">
        <v>23</v>
      </c>
      <c r="C6" s="2">
        <v>65</v>
      </c>
      <c r="D6" s="2">
        <v>32.479999999999997</v>
      </c>
      <c r="E6" s="2">
        <v>13.22</v>
      </c>
      <c r="F6" s="2">
        <v>174.84</v>
      </c>
      <c r="G6" s="2">
        <v>40.71</v>
      </c>
      <c r="H6" s="2">
        <v>1.97</v>
      </c>
      <c r="I6" s="2">
        <v>25.2</v>
      </c>
      <c r="J6" s="2">
        <v>53.34</v>
      </c>
      <c r="K6" s="2">
        <v>13.18</v>
      </c>
      <c r="L6" s="2">
        <v>0.01</v>
      </c>
      <c r="M6" s="2">
        <v>15.98</v>
      </c>
      <c r="N6" s="2">
        <v>55.58</v>
      </c>
      <c r="O6" s="2">
        <v>22.45</v>
      </c>
      <c r="P6" s="2">
        <v>57.98</v>
      </c>
      <c r="Q6" s="2">
        <f t="shared" si="0"/>
        <v>7.6144599283205894</v>
      </c>
      <c r="R6" s="2">
        <v>33.922847089161898</v>
      </c>
      <c r="S6" s="2">
        <v>18.670000000000002</v>
      </c>
    </row>
    <row r="7" spans="1:19" x14ac:dyDescent="0.25">
      <c r="A7" s="2">
        <v>6</v>
      </c>
      <c r="B7" s="2" t="s">
        <v>24</v>
      </c>
      <c r="C7" s="2">
        <v>51</v>
      </c>
      <c r="D7" s="2">
        <v>42.69</v>
      </c>
      <c r="E7" s="2">
        <v>15.18</v>
      </c>
      <c r="F7" s="2">
        <v>230.46</v>
      </c>
      <c r="G7" s="2">
        <v>35.57</v>
      </c>
      <c r="H7" s="2">
        <v>1.98</v>
      </c>
      <c r="I7" s="2">
        <v>24.93</v>
      </c>
      <c r="J7" s="2">
        <v>63.84</v>
      </c>
      <c r="K7" s="2">
        <v>17.28</v>
      </c>
      <c r="L7" s="2">
        <v>0.01</v>
      </c>
      <c r="M7" s="2">
        <v>11.47</v>
      </c>
      <c r="N7" s="2">
        <v>58.71</v>
      </c>
      <c r="O7" s="2">
        <v>23.32</v>
      </c>
      <c r="P7" s="2">
        <v>58.31</v>
      </c>
      <c r="Q7" s="2">
        <f t="shared" si="0"/>
        <v>7.6360984802449998</v>
      </c>
      <c r="R7" s="2">
        <v>32.7401862075344</v>
      </c>
      <c r="S7" s="2">
        <v>17.8</v>
      </c>
    </row>
    <row r="8" spans="1:19" x14ac:dyDescent="0.25">
      <c r="A8" s="2">
        <v>7</v>
      </c>
      <c r="B8" s="2" t="s">
        <v>25</v>
      </c>
      <c r="C8" s="2">
        <v>95</v>
      </c>
      <c r="D8" s="2">
        <v>17.7</v>
      </c>
      <c r="E8" s="2">
        <v>7.12</v>
      </c>
      <c r="F8" s="2">
        <v>50.64</v>
      </c>
      <c r="G8" s="2">
        <v>40.22</v>
      </c>
      <c r="H8" s="2">
        <v>3.49</v>
      </c>
      <c r="I8" s="2">
        <v>51.08</v>
      </c>
      <c r="J8" s="2">
        <v>72.84</v>
      </c>
      <c r="K8" s="2">
        <v>18.12</v>
      </c>
      <c r="L8" s="2">
        <v>0.1</v>
      </c>
      <c r="M8" s="2">
        <v>14.95</v>
      </c>
      <c r="N8" s="2">
        <v>36.01</v>
      </c>
      <c r="O8" s="2">
        <v>17.18</v>
      </c>
      <c r="P8" s="2">
        <v>31.79</v>
      </c>
      <c r="Q8" s="2">
        <f t="shared" si="0"/>
        <v>5.6382621436041793</v>
      </c>
      <c r="R8" s="2">
        <v>32.8147480386585</v>
      </c>
      <c r="S8" s="2">
        <v>16.52</v>
      </c>
    </row>
    <row r="9" spans="1:19" x14ac:dyDescent="0.25">
      <c r="A9" s="2">
        <v>8</v>
      </c>
      <c r="B9" s="2" t="s">
        <v>26</v>
      </c>
      <c r="C9" s="2">
        <v>24</v>
      </c>
      <c r="D9" s="2">
        <v>6.27</v>
      </c>
      <c r="E9" s="2">
        <v>4.63</v>
      </c>
      <c r="F9" s="2">
        <v>21.46</v>
      </c>
      <c r="G9" s="2">
        <v>73.86</v>
      </c>
      <c r="H9" s="2">
        <v>2.61</v>
      </c>
      <c r="I9" s="2">
        <v>21.11</v>
      </c>
      <c r="J9" s="2">
        <v>72.010000000000005</v>
      </c>
      <c r="K9" s="2">
        <v>11.44</v>
      </c>
      <c r="L9" s="2">
        <v>0</v>
      </c>
      <c r="M9" s="2">
        <v>8.07</v>
      </c>
      <c r="N9" s="2">
        <v>14.73</v>
      </c>
      <c r="O9" s="2">
        <v>6.4</v>
      </c>
      <c r="P9" s="2">
        <v>18.57</v>
      </c>
      <c r="Q9" s="2">
        <f t="shared" si="0"/>
        <v>4.3092922852830489</v>
      </c>
      <c r="R9" s="2">
        <v>67.385290451405993</v>
      </c>
      <c r="S9" s="2">
        <v>6.77</v>
      </c>
    </row>
    <row r="10" spans="1:19" x14ac:dyDescent="0.25">
      <c r="A10" s="2">
        <v>9</v>
      </c>
      <c r="B10" s="2" t="s">
        <v>27</v>
      </c>
      <c r="C10" s="2">
        <v>123</v>
      </c>
      <c r="D10" s="2">
        <v>12.5</v>
      </c>
      <c r="E10" s="2">
        <v>4.92</v>
      </c>
      <c r="F10" s="2">
        <v>24.16</v>
      </c>
      <c r="G10" s="2">
        <v>39.32</v>
      </c>
      <c r="H10" s="2">
        <v>10.47</v>
      </c>
      <c r="I10" s="2">
        <v>67.55</v>
      </c>
      <c r="J10" s="2">
        <v>78.069999999999993</v>
      </c>
      <c r="K10" s="2">
        <v>10.25</v>
      </c>
      <c r="L10" s="2">
        <v>0.09</v>
      </c>
      <c r="M10" s="2">
        <v>26.69</v>
      </c>
      <c r="N10" s="2">
        <v>0.16</v>
      </c>
      <c r="O10" s="2">
        <v>14.14</v>
      </c>
      <c r="P10" s="2">
        <v>22.88</v>
      </c>
      <c r="Q10" s="2">
        <f t="shared" si="0"/>
        <v>4.7833042972405595</v>
      </c>
      <c r="R10" s="2">
        <v>33.8247882219787</v>
      </c>
      <c r="S10" s="2">
        <v>18.600000000000001</v>
      </c>
    </row>
    <row r="11" spans="1:19" x14ac:dyDescent="0.25">
      <c r="A11" s="2">
        <v>10</v>
      </c>
      <c r="B11" s="2" t="s">
        <v>28</v>
      </c>
      <c r="C11" s="2">
        <v>103</v>
      </c>
      <c r="D11" s="2">
        <v>8.76</v>
      </c>
      <c r="E11" s="2">
        <v>3.86</v>
      </c>
      <c r="F11" s="2">
        <v>14.93</v>
      </c>
      <c r="G11" s="2">
        <v>44.11</v>
      </c>
      <c r="H11" s="2">
        <v>15.87</v>
      </c>
      <c r="I11" s="2">
        <v>59.12</v>
      </c>
      <c r="J11" s="2">
        <v>80.12</v>
      </c>
      <c r="K11" s="2">
        <v>13.11</v>
      </c>
      <c r="L11" s="2">
        <v>0.13</v>
      </c>
      <c r="M11" s="2">
        <v>0</v>
      </c>
      <c r="N11" s="2">
        <v>14.04</v>
      </c>
      <c r="O11" s="2">
        <v>9.0399999999999991</v>
      </c>
      <c r="P11" s="2">
        <v>14.73</v>
      </c>
      <c r="Q11" s="2">
        <f t="shared" si="0"/>
        <v>3.8379682124790979</v>
      </c>
      <c r="R11" s="2">
        <v>42.468418547203399</v>
      </c>
      <c r="S11" s="2">
        <v>10.26</v>
      </c>
    </row>
    <row r="12" spans="1:19" x14ac:dyDescent="0.25">
      <c r="A12" s="2">
        <v>11</v>
      </c>
      <c r="B12" s="2" t="s">
        <v>29</v>
      </c>
      <c r="C12" s="2">
        <v>44</v>
      </c>
      <c r="D12" s="2">
        <v>36.270000000000003</v>
      </c>
      <c r="E12" s="2">
        <v>13.12</v>
      </c>
      <c r="F12" s="2">
        <v>172.09</v>
      </c>
      <c r="G12" s="2">
        <v>36.17</v>
      </c>
      <c r="H12" s="2">
        <v>2.4900000000000002</v>
      </c>
      <c r="I12" s="2">
        <v>24.79</v>
      </c>
      <c r="J12" s="2">
        <v>68.88</v>
      </c>
      <c r="K12" s="2">
        <v>20.74</v>
      </c>
      <c r="L12" s="2">
        <v>0.01</v>
      </c>
      <c r="M12" s="2">
        <v>14.01</v>
      </c>
      <c r="N12" s="2">
        <v>30.12</v>
      </c>
      <c r="O12" s="2">
        <v>21.68</v>
      </c>
      <c r="P12" s="2">
        <v>51.48</v>
      </c>
      <c r="Q12" s="2">
        <f t="shared" si="0"/>
        <v>7.1749564458608388</v>
      </c>
      <c r="R12" s="2">
        <v>33.099276613585502</v>
      </c>
      <c r="S12" s="2">
        <v>16.100000000000001</v>
      </c>
    </row>
    <row r="13" spans="1:19" x14ac:dyDescent="0.25">
      <c r="A13" s="2">
        <v>12</v>
      </c>
      <c r="B13" s="2" t="s">
        <v>30</v>
      </c>
      <c r="C13" s="2">
        <v>75</v>
      </c>
      <c r="D13" s="2">
        <v>20.52</v>
      </c>
      <c r="E13" s="2">
        <v>7.12</v>
      </c>
      <c r="F13" s="2">
        <v>50.66</v>
      </c>
      <c r="G13" s="2">
        <v>34.69</v>
      </c>
      <c r="H13" s="2">
        <v>2.2000000000000002</v>
      </c>
      <c r="I13" s="2">
        <v>33.130000000000003</v>
      </c>
      <c r="J13" s="2">
        <v>67.510000000000005</v>
      </c>
      <c r="K13" s="2">
        <v>20.56</v>
      </c>
      <c r="L13" s="2">
        <v>0.02</v>
      </c>
      <c r="M13" s="2">
        <v>11.6</v>
      </c>
      <c r="N13" s="2">
        <v>45.81</v>
      </c>
      <c r="O13" s="2">
        <v>18.899999999999999</v>
      </c>
      <c r="P13" s="2">
        <v>30.78</v>
      </c>
      <c r="Q13" s="2">
        <f t="shared" si="0"/>
        <v>5.547972602672079</v>
      </c>
      <c r="R13" s="2">
        <v>29.349111181148299</v>
      </c>
      <c r="S13" s="2">
        <v>16.8</v>
      </c>
    </row>
    <row r="14" spans="1:19" x14ac:dyDescent="0.25">
      <c r="A14" s="2">
        <v>13</v>
      </c>
      <c r="B14" s="2" t="s">
        <v>31</v>
      </c>
      <c r="C14" s="2">
        <v>15</v>
      </c>
      <c r="D14" s="2">
        <v>13.49</v>
      </c>
      <c r="E14" s="2">
        <v>6.03</v>
      </c>
      <c r="F14" s="2">
        <v>36.42</v>
      </c>
      <c r="G14" s="2">
        <v>44.74</v>
      </c>
      <c r="H14" s="2">
        <v>1.8</v>
      </c>
      <c r="I14" s="2">
        <v>21.26</v>
      </c>
      <c r="J14" s="2">
        <v>71.59</v>
      </c>
      <c r="K14" s="2">
        <v>24.77</v>
      </c>
      <c r="L14" s="2">
        <v>0.02</v>
      </c>
      <c r="M14" s="2">
        <v>10.88</v>
      </c>
      <c r="N14" s="2">
        <v>47.77</v>
      </c>
      <c r="O14" s="2">
        <v>15.18</v>
      </c>
      <c r="P14" s="2">
        <v>25.08</v>
      </c>
      <c r="Q14" s="2">
        <f t="shared" si="0"/>
        <v>5.0079936102195655</v>
      </c>
      <c r="R14" s="2">
        <v>32.995553507107203</v>
      </c>
      <c r="S14" s="2">
        <v>18.23</v>
      </c>
    </row>
    <row r="15" spans="1:19" x14ac:dyDescent="0.25">
      <c r="A15" s="2">
        <v>14</v>
      </c>
      <c r="B15" s="2" t="s">
        <v>32</v>
      </c>
      <c r="C15" s="2">
        <v>56</v>
      </c>
      <c r="D15" s="2">
        <v>16.52</v>
      </c>
      <c r="E15" s="2">
        <v>4.2699999999999996</v>
      </c>
      <c r="F15" s="2">
        <v>18.239999999999998</v>
      </c>
      <c r="G15" s="2">
        <v>25.86</v>
      </c>
      <c r="H15" s="2">
        <v>2.63</v>
      </c>
      <c r="I15" s="2">
        <v>29.68</v>
      </c>
      <c r="J15" s="2">
        <v>70.36</v>
      </c>
      <c r="K15" s="2">
        <v>19.89</v>
      </c>
      <c r="L15" s="2">
        <v>0.06</v>
      </c>
      <c r="M15" s="2">
        <v>15.44</v>
      </c>
      <c r="N15" s="2">
        <v>53.92</v>
      </c>
      <c r="O15" s="2">
        <v>17.37</v>
      </c>
      <c r="P15" s="2">
        <v>15.04</v>
      </c>
      <c r="Q15" s="2">
        <f t="shared" si="0"/>
        <v>3.878143885933063</v>
      </c>
      <c r="R15" s="2">
        <v>22.321305966883799</v>
      </c>
      <c r="S15" s="2">
        <v>20.45</v>
      </c>
    </row>
    <row r="16" spans="1:19" x14ac:dyDescent="0.25">
      <c r="A16" s="2">
        <v>15</v>
      </c>
      <c r="B16" s="2" t="s">
        <v>33</v>
      </c>
      <c r="C16" s="2">
        <v>96</v>
      </c>
      <c r="D16" s="2">
        <v>19.54</v>
      </c>
      <c r="E16" s="2">
        <v>6.23</v>
      </c>
      <c r="F16" s="2">
        <v>38.869999999999997</v>
      </c>
      <c r="G16" s="2">
        <v>31.91</v>
      </c>
      <c r="H16" s="2">
        <v>2.68</v>
      </c>
      <c r="I16" s="2">
        <v>45.81</v>
      </c>
      <c r="J16" s="2">
        <v>71.58</v>
      </c>
      <c r="K16" s="2">
        <v>22.43</v>
      </c>
      <c r="L16" s="2">
        <v>0.16</v>
      </c>
      <c r="M16" s="2">
        <v>14.81</v>
      </c>
      <c r="N16" s="2">
        <v>54.41</v>
      </c>
      <c r="O16" s="2">
        <v>19.989999999999998</v>
      </c>
      <c r="P16" s="2">
        <v>27.28</v>
      </c>
      <c r="Q16" s="2">
        <f t="shared" si="0"/>
        <v>5.2230259428802386</v>
      </c>
      <c r="R16" s="2">
        <v>26.133562655814401</v>
      </c>
      <c r="S16" s="2">
        <v>20.74</v>
      </c>
    </row>
    <row r="17" spans="1:19" x14ac:dyDescent="0.25">
      <c r="A17" s="2">
        <v>16</v>
      </c>
      <c r="B17" s="2" t="s">
        <v>34</v>
      </c>
      <c r="C17" s="2">
        <v>57</v>
      </c>
      <c r="D17" s="2">
        <v>5.4</v>
      </c>
      <c r="E17" s="2">
        <v>2.46</v>
      </c>
      <c r="F17" s="2">
        <v>6.03</v>
      </c>
      <c r="G17" s="2">
        <v>45.48</v>
      </c>
      <c r="H17" s="2">
        <v>2.2799999999999998</v>
      </c>
      <c r="I17" s="2">
        <v>33.35</v>
      </c>
      <c r="J17" s="2">
        <v>71.92</v>
      </c>
      <c r="K17" s="2">
        <v>18.97</v>
      </c>
      <c r="L17" s="2">
        <v>0.1</v>
      </c>
      <c r="M17" s="2">
        <v>14.56</v>
      </c>
      <c r="N17" s="2">
        <v>50.3</v>
      </c>
      <c r="O17" s="2">
        <v>6.51</v>
      </c>
      <c r="P17" s="2">
        <v>5.64</v>
      </c>
      <c r="Q17" s="2">
        <f t="shared" si="0"/>
        <v>2.3748684174075834</v>
      </c>
      <c r="R17" s="2">
        <v>36.455478241242503</v>
      </c>
      <c r="S17" s="2">
        <v>18.670000000000002</v>
      </c>
    </row>
    <row r="18" spans="1:19" x14ac:dyDescent="0.25">
      <c r="A18" s="2">
        <v>17</v>
      </c>
      <c r="B18" s="2" t="s">
        <v>35</v>
      </c>
      <c r="C18" s="2">
        <v>21</v>
      </c>
      <c r="D18" s="2">
        <v>17.48</v>
      </c>
      <c r="E18" s="2">
        <v>9.25</v>
      </c>
      <c r="F18" s="2">
        <v>85.63</v>
      </c>
      <c r="G18" s="2">
        <v>52.94</v>
      </c>
      <c r="H18" s="2">
        <v>1.35</v>
      </c>
      <c r="I18" s="2">
        <v>15.44</v>
      </c>
      <c r="J18" s="2">
        <v>75.989999999999995</v>
      </c>
      <c r="K18" s="2">
        <v>19.71</v>
      </c>
      <c r="L18" s="2">
        <v>0.03</v>
      </c>
      <c r="M18" s="2">
        <v>15.47</v>
      </c>
      <c r="N18" s="2">
        <v>56.39</v>
      </c>
      <c r="O18" s="2">
        <v>19</v>
      </c>
      <c r="P18" s="2">
        <v>42.8</v>
      </c>
      <c r="Q18" s="2">
        <f t="shared" si="0"/>
        <v>6.5421708935184499</v>
      </c>
      <c r="R18" s="2">
        <v>34.433142465272098</v>
      </c>
      <c r="S18" s="2">
        <v>20.170000000000002</v>
      </c>
    </row>
    <row r="19" spans="1:19" x14ac:dyDescent="0.25">
      <c r="A19" s="2">
        <v>18</v>
      </c>
      <c r="B19" s="2" t="s">
        <v>36</v>
      </c>
      <c r="C19" s="2">
        <v>154</v>
      </c>
      <c r="D19" s="2">
        <v>6.5</v>
      </c>
      <c r="E19" s="2">
        <v>3.89</v>
      </c>
      <c r="F19" s="2">
        <v>15.16</v>
      </c>
      <c r="G19" s="2">
        <v>59.85</v>
      </c>
      <c r="H19" s="2">
        <v>1.08</v>
      </c>
      <c r="I19" s="2">
        <v>17.510000000000002</v>
      </c>
      <c r="J19" s="2">
        <v>51.29</v>
      </c>
      <c r="K19" s="2">
        <v>16.91</v>
      </c>
      <c r="L19" s="2">
        <v>0</v>
      </c>
      <c r="M19" s="2">
        <v>13.59</v>
      </c>
      <c r="N19" s="2">
        <v>43.24</v>
      </c>
      <c r="O19" s="2">
        <v>8.35</v>
      </c>
      <c r="P19" s="2">
        <v>13.04</v>
      </c>
      <c r="Q19" s="2">
        <f t="shared" si="0"/>
        <v>3.6110940170535577</v>
      </c>
      <c r="R19" s="2">
        <v>43.2718244968869</v>
      </c>
      <c r="S19" s="2">
        <v>16.329999999999998</v>
      </c>
    </row>
    <row r="20" spans="1:19" x14ac:dyDescent="0.25">
      <c r="A20" s="2">
        <v>19</v>
      </c>
      <c r="B20" s="2" t="s">
        <v>37</v>
      </c>
      <c r="C20" s="2">
        <v>84</v>
      </c>
      <c r="D20" s="2">
        <v>33.19</v>
      </c>
      <c r="E20" s="2">
        <v>7.58</v>
      </c>
      <c r="F20" s="2">
        <v>57.38</v>
      </c>
      <c r="G20" s="2">
        <v>22.82</v>
      </c>
      <c r="H20" s="2">
        <v>2.23</v>
      </c>
      <c r="I20" s="2">
        <v>35.26</v>
      </c>
      <c r="J20" s="2">
        <v>58.49</v>
      </c>
      <c r="K20" s="2">
        <v>12.52</v>
      </c>
      <c r="L20" s="2">
        <v>7.0000000000000007E-2</v>
      </c>
      <c r="M20" s="2">
        <v>12.06</v>
      </c>
      <c r="N20" s="2">
        <v>43.74</v>
      </c>
      <c r="O20" s="2">
        <v>24.26</v>
      </c>
      <c r="P20" s="2">
        <v>34.35</v>
      </c>
      <c r="Q20" s="2">
        <f t="shared" si="0"/>
        <v>5.8608873048370418</v>
      </c>
      <c r="R20" s="2">
        <v>24.1619690068637</v>
      </c>
      <c r="S20" s="2">
        <v>14.02</v>
      </c>
    </row>
    <row r="21" spans="1:19" x14ac:dyDescent="0.25">
      <c r="A21" s="2">
        <v>20</v>
      </c>
      <c r="B21" s="2" t="s">
        <v>38</v>
      </c>
      <c r="C21" s="2">
        <v>35</v>
      </c>
      <c r="D21" s="2">
        <v>12.45</v>
      </c>
      <c r="E21" s="2">
        <v>6.71</v>
      </c>
      <c r="F21" s="2">
        <v>45.08</v>
      </c>
      <c r="G21" s="2">
        <v>53.91</v>
      </c>
      <c r="H21" s="2">
        <v>0.94</v>
      </c>
      <c r="I21" s="2">
        <v>17.3</v>
      </c>
      <c r="J21" s="2">
        <v>61.47</v>
      </c>
      <c r="K21" s="2">
        <v>16.420000000000002</v>
      </c>
      <c r="L21" s="2">
        <v>0.08</v>
      </c>
      <c r="M21" s="2">
        <v>11.45</v>
      </c>
      <c r="N21" s="2">
        <v>37.85</v>
      </c>
      <c r="O21" s="2">
        <v>12.97</v>
      </c>
      <c r="P21" s="2">
        <v>28.95</v>
      </c>
      <c r="Q21" s="2">
        <f t="shared" si="0"/>
        <v>5.3805204209258424</v>
      </c>
      <c r="R21" s="2">
        <v>41.468899752202503</v>
      </c>
      <c r="S21" s="2">
        <v>13.73</v>
      </c>
    </row>
    <row r="22" spans="1:19" x14ac:dyDescent="0.25">
      <c r="A22" s="2">
        <v>21</v>
      </c>
      <c r="B22" s="2" t="s">
        <v>39</v>
      </c>
      <c r="C22" s="2">
        <v>67</v>
      </c>
      <c r="D22" s="2">
        <v>11.49</v>
      </c>
      <c r="E22" s="2">
        <v>4.47</v>
      </c>
      <c r="F22" s="2">
        <v>20.010000000000002</v>
      </c>
      <c r="G22" s="2">
        <v>38.92</v>
      </c>
      <c r="H22" s="2">
        <v>1.3</v>
      </c>
      <c r="I22" s="2">
        <v>19.760000000000002</v>
      </c>
      <c r="J22" s="2">
        <v>59.54</v>
      </c>
      <c r="K22" s="2">
        <v>17.72</v>
      </c>
      <c r="L22" s="2">
        <v>0.02</v>
      </c>
      <c r="M22" s="2">
        <v>13.12</v>
      </c>
      <c r="N22" s="2">
        <v>38.549999999999997</v>
      </c>
      <c r="O22" s="2">
        <v>12.42</v>
      </c>
      <c r="P22" s="2">
        <v>16.09</v>
      </c>
      <c r="Q22" s="2">
        <f t="shared" si="0"/>
        <v>4.0112342240263157</v>
      </c>
      <c r="R22" s="2">
        <v>32.295340479725802</v>
      </c>
      <c r="S22" s="2">
        <v>15.46</v>
      </c>
    </row>
    <row r="23" spans="1:19" x14ac:dyDescent="0.25">
      <c r="A23" s="2">
        <v>22</v>
      </c>
      <c r="B23" s="2" t="s">
        <v>40</v>
      </c>
      <c r="C23" s="2">
        <v>92</v>
      </c>
      <c r="D23" s="2">
        <v>16.39</v>
      </c>
      <c r="E23" s="2">
        <v>6.86</v>
      </c>
      <c r="F23" s="2">
        <v>47.01</v>
      </c>
      <c r="G23" s="2">
        <v>41.84</v>
      </c>
      <c r="H23" s="2">
        <v>0.85</v>
      </c>
      <c r="I23" s="2">
        <v>11.46</v>
      </c>
      <c r="J23" s="2">
        <v>60.56</v>
      </c>
      <c r="K23" s="2">
        <v>26.4</v>
      </c>
      <c r="L23" s="2">
        <v>1.33</v>
      </c>
      <c r="M23" s="2">
        <v>13.19</v>
      </c>
      <c r="N23" s="2">
        <v>36.01</v>
      </c>
      <c r="O23" s="2">
        <v>17.71</v>
      </c>
      <c r="P23" s="2">
        <v>30.16</v>
      </c>
      <c r="Q23" s="2">
        <f t="shared" si="0"/>
        <v>5.491812087098392</v>
      </c>
      <c r="R23" s="2">
        <v>31.013771578464802</v>
      </c>
      <c r="S23" s="2">
        <v>19.55</v>
      </c>
    </row>
    <row r="24" spans="1:19" x14ac:dyDescent="0.25">
      <c r="A24" s="2">
        <v>23</v>
      </c>
      <c r="B24" s="2" t="s">
        <v>41</v>
      </c>
      <c r="C24" s="2">
        <v>131</v>
      </c>
      <c r="D24" s="2">
        <v>32.56</v>
      </c>
      <c r="E24" s="2">
        <v>8.81</v>
      </c>
      <c r="F24" s="2">
        <v>77.650000000000006</v>
      </c>
      <c r="G24" s="2">
        <v>27.07</v>
      </c>
      <c r="H24" s="2">
        <v>1.06</v>
      </c>
      <c r="I24" s="2">
        <v>11.84</v>
      </c>
      <c r="J24" s="2">
        <v>61.12</v>
      </c>
      <c r="K24" s="2">
        <v>32.26</v>
      </c>
      <c r="L24" s="2">
        <v>0.04</v>
      </c>
      <c r="M24" s="2">
        <v>13.9</v>
      </c>
      <c r="N24" s="2">
        <v>34.590000000000003</v>
      </c>
      <c r="O24" s="2">
        <v>26.14</v>
      </c>
      <c r="P24" s="2">
        <v>42.08</v>
      </c>
      <c r="Q24" s="2">
        <f t="shared" si="0"/>
        <v>6.4869098960907419</v>
      </c>
      <c r="R24" s="2">
        <v>24.8118282480171</v>
      </c>
      <c r="S24" s="2">
        <v>20.71</v>
      </c>
    </row>
    <row r="25" spans="1:19" x14ac:dyDescent="0.25">
      <c r="A25" s="2">
        <v>24</v>
      </c>
      <c r="B25" s="2" t="s">
        <v>42</v>
      </c>
      <c r="C25" s="2">
        <v>90</v>
      </c>
      <c r="D25" s="2">
        <v>10.28</v>
      </c>
      <c r="E25" s="2">
        <v>5.35</v>
      </c>
      <c r="F25" s="2">
        <v>28.66</v>
      </c>
      <c r="G25" s="2">
        <v>52.06</v>
      </c>
      <c r="H25" s="2">
        <v>1.04</v>
      </c>
      <c r="I25" s="2">
        <v>13.24</v>
      </c>
      <c r="J25" s="2">
        <v>64.569999999999993</v>
      </c>
      <c r="K25" s="2">
        <v>31.14</v>
      </c>
      <c r="L25" s="2">
        <v>0.01</v>
      </c>
      <c r="M25" s="2">
        <v>14.79</v>
      </c>
      <c r="N25" s="2">
        <v>38.54</v>
      </c>
      <c r="O25" s="2">
        <v>13.62</v>
      </c>
      <c r="P25" s="2">
        <v>21.75</v>
      </c>
      <c r="Q25" s="2">
        <f t="shared" si="0"/>
        <v>4.6636895265444078</v>
      </c>
      <c r="R25" s="2">
        <v>34.2426377173989</v>
      </c>
      <c r="S25" s="2">
        <v>21.27</v>
      </c>
    </row>
    <row r="26" spans="1:19" x14ac:dyDescent="0.25">
      <c r="A26" s="2">
        <v>25</v>
      </c>
      <c r="B26" s="2" t="s">
        <v>43</v>
      </c>
      <c r="C26" s="2">
        <v>70</v>
      </c>
      <c r="D26" s="2">
        <v>10.52</v>
      </c>
      <c r="E26" s="2">
        <v>5.26</v>
      </c>
      <c r="F26" s="2">
        <v>27.62</v>
      </c>
      <c r="G26" s="2">
        <v>49.94</v>
      </c>
      <c r="H26" s="2">
        <v>1.33</v>
      </c>
      <c r="I26" s="2">
        <v>17.100000000000001</v>
      </c>
      <c r="J26" s="2">
        <v>66.37</v>
      </c>
      <c r="K26" s="2">
        <v>30.52</v>
      </c>
      <c r="L26" s="2">
        <v>0.09</v>
      </c>
      <c r="M26" s="2">
        <v>13.6</v>
      </c>
      <c r="N26" s="2">
        <v>32.119999999999997</v>
      </c>
      <c r="O26" s="2">
        <v>13.15</v>
      </c>
      <c r="P26" s="2">
        <v>21.24</v>
      </c>
      <c r="Q26" s="2">
        <f t="shared" si="0"/>
        <v>4.6086874487211649</v>
      </c>
      <c r="R26" s="2">
        <v>35.034020107693401</v>
      </c>
      <c r="S26" s="2">
        <v>19.420000000000002</v>
      </c>
    </row>
    <row r="27" spans="1:19" x14ac:dyDescent="0.25">
      <c r="A27" s="2">
        <v>26</v>
      </c>
      <c r="B27" s="2" t="s">
        <v>44</v>
      </c>
      <c r="C27" s="2">
        <v>102</v>
      </c>
      <c r="D27" s="2">
        <v>11.91</v>
      </c>
      <c r="E27" s="2">
        <v>2.81</v>
      </c>
      <c r="F27" s="2">
        <v>7.91</v>
      </c>
      <c r="G27" s="2">
        <v>23.61</v>
      </c>
      <c r="H27" s="2">
        <v>8.1300000000000008</v>
      </c>
      <c r="I27" s="2">
        <v>66.209999999999994</v>
      </c>
      <c r="J27" s="2">
        <v>77.290000000000006</v>
      </c>
      <c r="K27" s="2">
        <v>20.66</v>
      </c>
      <c r="L27" s="2">
        <v>0.16</v>
      </c>
      <c r="M27" s="2">
        <v>10.220000000000001</v>
      </c>
      <c r="N27" s="2">
        <v>27.97</v>
      </c>
      <c r="O27" s="2">
        <v>12.35</v>
      </c>
      <c r="P27" s="2">
        <v>7.37</v>
      </c>
      <c r="Q27" s="2">
        <f t="shared" si="0"/>
        <v>2.7147743920996454</v>
      </c>
      <c r="R27" s="2">
        <v>21.9858746631709</v>
      </c>
      <c r="S27" s="2">
        <v>16</v>
      </c>
    </row>
    <row r="28" spans="1:19" x14ac:dyDescent="0.25">
      <c r="A28" s="2">
        <v>27</v>
      </c>
      <c r="B28" s="2" t="s">
        <v>45</v>
      </c>
      <c r="C28" s="2">
        <v>35</v>
      </c>
      <c r="D28" s="2">
        <v>35.950000000000003</v>
      </c>
      <c r="E28" s="2">
        <v>22.02</v>
      </c>
      <c r="F28" s="2">
        <v>484.77</v>
      </c>
      <c r="G28" s="2">
        <v>61.24</v>
      </c>
      <c r="H28" s="2">
        <v>1.62</v>
      </c>
      <c r="I28" s="2">
        <v>9.0399999999999991</v>
      </c>
      <c r="J28" s="2">
        <v>67.25</v>
      </c>
      <c r="K28" s="2">
        <v>30.58</v>
      </c>
      <c r="L28" s="2">
        <v>0.05</v>
      </c>
      <c r="M28" s="2">
        <v>11.54</v>
      </c>
      <c r="N28" s="2">
        <v>32.92</v>
      </c>
      <c r="O28" s="2">
        <v>20.79</v>
      </c>
      <c r="P28" s="2">
        <v>68.95</v>
      </c>
      <c r="Q28" s="2">
        <f t="shared" si="0"/>
        <v>8.3036136711675113</v>
      </c>
      <c r="R28" s="2">
        <v>39.935999911166903</v>
      </c>
      <c r="S28" s="2">
        <v>18.739999999999998</v>
      </c>
    </row>
    <row r="29" spans="1:19" x14ac:dyDescent="0.25">
      <c r="A29" s="2">
        <v>28</v>
      </c>
      <c r="B29" s="2" t="s">
        <v>46</v>
      </c>
      <c r="C29" s="2">
        <v>54</v>
      </c>
      <c r="D29" s="2">
        <v>12.44</v>
      </c>
      <c r="E29" s="2">
        <v>8.16</v>
      </c>
      <c r="F29" s="2">
        <v>66.55</v>
      </c>
      <c r="G29" s="2">
        <v>65.59</v>
      </c>
      <c r="H29" s="2">
        <v>1.35</v>
      </c>
      <c r="I29" s="2">
        <v>22.08</v>
      </c>
      <c r="J29" s="2">
        <v>69.040000000000006</v>
      </c>
      <c r="K29" s="2">
        <v>16.59</v>
      </c>
      <c r="L29" s="2">
        <v>0.01</v>
      </c>
      <c r="M29" s="2">
        <v>14.38</v>
      </c>
      <c r="N29" s="2">
        <v>43.31</v>
      </c>
      <c r="O29" s="2">
        <v>14.35</v>
      </c>
      <c r="P29" s="2">
        <v>35.6</v>
      </c>
      <c r="Q29" s="2">
        <f t="shared" si="0"/>
        <v>5.9665735560705189</v>
      </c>
      <c r="R29" s="2">
        <v>41.588251638672901</v>
      </c>
      <c r="S29" s="2">
        <v>16.23</v>
      </c>
    </row>
    <row r="30" spans="1:19" x14ac:dyDescent="0.25">
      <c r="A30" s="2">
        <v>29</v>
      </c>
      <c r="B30" s="2" t="s">
        <v>47</v>
      </c>
      <c r="C30" s="2">
        <v>21</v>
      </c>
      <c r="D30" s="2">
        <v>14.99</v>
      </c>
      <c r="E30" s="2">
        <v>8.07</v>
      </c>
      <c r="F30" s="2">
        <v>65.14</v>
      </c>
      <c r="G30" s="2">
        <v>53.83</v>
      </c>
      <c r="H30" s="2">
        <v>1.87</v>
      </c>
      <c r="I30" s="2">
        <v>16.95</v>
      </c>
      <c r="J30" s="2">
        <v>72.7</v>
      </c>
      <c r="K30" s="2">
        <v>18.71</v>
      </c>
      <c r="L30" s="2">
        <v>0</v>
      </c>
      <c r="M30" s="2">
        <v>13.28</v>
      </c>
      <c r="N30" s="2">
        <v>44.36</v>
      </c>
      <c r="O30" s="2">
        <v>15.96</v>
      </c>
      <c r="P30" s="2">
        <v>35.450000000000003</v>
      </c>
      <c r="Q30" s="2">
        <f t="shared" si="0"/>
        <v>5.9539902586416789</v>
      </c>
      <c r="R30" s="2">
        <v>37.305768305782799</v>
      </c>
      <c r="S30" s="2">
        <v>16.93</v>
      </c>
    </row>
    <row r="31" spans="1:19" x14ac:dyDescent="0.25">
      <c r="A31" s="2">
        <v>30</v>
      </c>
      <c r="B31" s="2" t="s">
        <v>48</v>
      </c>
      <c r="C31" s="2">
        <v>36</v>
      </c>
      <c r="D31" s="2">
        <v>16.02</v>
      </c>
      <c r="E31" s="2">
        <v>7.58</v>
      </c>
      <c r="F31" s="2">
        <v>57.51</v>
      </c>
      <c r="G31" s="2">
        <v>47.34</v>
      </c>
      <c r="H31" s="2">
        <v>1.81</v>
      </c>
      <c r="I31" s="2">
        <v>23.16</v>
      </c>
      <c r="J31" s="2">
        <v>78.41</v>
      </c>
      <c r="K31" s="2">
        <v>24.55</v>
      </c>
      <c r="L31" s="2">
        <v>0.01</v>
      </c>
      <c r="M31" s="2">
        <v>13.1</v>
      </c>
      <c r="N31" s="2">
        <v>43.85</v>
      </c>
      <c r="O31" s="2">
        <v>17.2</v>
      </c>
      <c r="P31" s="2">
        <v>33.799999999999997</v>
      </c>
      <c r="Q31" s="2">
        <f t="shared" si="0"/>
        <v>5.8137767414994528</v>
      </c>
      <c r="R31" s="2">
        <v>33.808805180734801</v>
      </c>
      <c r="S31" s="2">
        <v>18.54</v>
      </c>
    </row>
    <row r="32" spans="1:19" x14ac:dyDescent="0.25">
      <c r="A32" s="2">
        <v>31</v>
      </c>
      <c r="B32" s="2" t="s">
        <v>49</v>
      </c>
      <c r="C32" s="2">
        <v>21</v>
      </c>
      <c r="D32" s="2" t="s">
        <v>50</v>
      </c>
      <c r="E32" s="2" t="s">
        <v>50</v>
      </c>
      <c r="F32" s="2" t="s">
        <v>50</v>
      </c>
      <c r="G32" s="2" t="s">
        <v>50</v>
      </c>
      <c r="H32" s="2">
        <v>2.0299999999999998</v>
      </c>
      <c r="I32" s="2">
        <v>16.98</v>
      </c>
      <c r="J32" s="2">
        <v>78.95</v>
      </c>
      <c r="K32" s="2">
        <v>28.39</v>
      </c>
      <c r="L32" s="2">
        <v>0.01</v>
      </c>
      <c r="M32" s="2">
        <v>15.61</v>
      </c>
      <c r="N32" s="2">
        <v>48.08</v>
      </c>
      <c r="O32" s="2" t="s">
        <v>50</v>
      </c>
      <c r="P32" s="2" t="s">
        <v>50</v>
      </c>
      <c r="Q32" s="2" t="s">
        <v>50</v>
      </c>
      <c r="R32" s="2" t="s">
        <v>50</v>
      </c>
      <c r="S32" s="2">
        <v>22.42</v>
      </c>
    </row>
    <row r="33" spans="1:19" x14ac:dyDescent="0.25">
      <c r="A33" s="2">
        <v>32</v>
      </c>
      <c r="B33" s="2" t="s">
        <v>51</v>
      </c>
      <c r="C33" s="2">
        <v>24</v>
      </c>
      <c r="D33" s="2">
        <v>6.82</v>
      </c>
      <c r="E33" s="2">
        <v>3.64</v>
      </c>
      <c r="F33" s="2">
        <v>13.25</v>
      </c>
      <c r="G33" s="2">
        <v>53.37</v>
      </c>
      <c r="H33" s="2">
        <v>1.43</v>
      </c>
      <c r="I33" s="2">
        <v>9.66</v>
      </c>
      <c r="J33" s="2">
        <v>75.78</v>
      </c>
      <c r="K33" s="2">
        <v>25.64</v>
      </c>
      <c r="L33" s="2">
        <v>0.04</v>
      </c>
      <c r="M33" s="2">
        <v>11.68</v>
      </c>
      <c r="N33" s="2">
        <v>37</v>
      </c>
      <c r="O33" s="2">
        <v>8.57</v>
      </c>
      <c r="P33" s="2">
        <v>11.59</v>
      </c>
      <c r="Q33" s="2">
        <f t="shared" si="0"/>
        <v>3.4044089061098401</v>
      </c>
      <c r="R33" s="2">
        <v>39.739787243234403</v>
      </c>
      <c r="S33" s="2">
        <v>17.25</v>
      </c>
    </row>
    <row r="34" spans="1:19" x14ac:dyDescent="0.25">
      <c r="A34" s="2">
        <v>33</v>
      </c>
      <c r="B34" s="2" t="s">
        <v>52</v>
      </c>
      <c r="C34" s="2">
        <v>101</v>
      </c>
      <c r="D34" s="2">
        <v>25.82</v>
      </c>
      <c r="E34" s="2">
        <v>5.8</v>
      </c>
      <c r="F34" s="2">
        <v>33.68</v>
      </c>
      <c r="G34" s="2">
        <v>22.48</v>
      </c>
      <c r="H34" s="2">
        <v>3.98</v>
      </c>
      <c r="I34" s="2">
        <v>65.83</v>
      </c>
      <c r="J34" s="2">
        <v>79.650000000000006</v>
      </c>
      <c r="K34" s="2">
        <v>17.829999999999998</v>
      </c>
      <c r="L34" s="2">
        <v>0.08</v>
      </c>
      <c r="M34" s="2">
        <v>11.66</v>
      </c>
      <c r="N34" s="2">
        <v>30.16</v>
      </c>
      <c r="O34" s="2">
        <v>21.56</v>
      </c>
      <c r="P34" s="2">
        <v>25.94</v>
      </c>
      <c r="Q34" s="2">
        <f t="shared" si="0"/>
        <v>5.0931326312987375</v>
      </c>
      <c r="R34" s="2">
        <v>23.626039384578299</v>
      </c>
      <c r="S34" s="2">
        <v>13.23</v>
      </c>
    </row>
    <row r="35" spans="1:19" x14ac:dyDescent="0.25">
      <c r="A35" s="2">
        <v>34</v>
      </c>
      <c r="B35" s="2" t="s">
        <v>53</v>
      </c>
      <c r="C35" s="2">
        <v>34</v>
      </c>
      <c r="D35" s="2">
        <v>36.19</v>
      </c>
      <c r="E35" s="2">
        <v>18.579999999999998</v>
      </c>
      <c r="F35" s="2">
        <v>345.2</v>
      </c>
      <c r="G35" s="2">
        <v>51.34</v>
      </c>
      <c r="H35" s="2">
        <v>0.93</v>
      </c>
      <c r="I35" s="2">
        <v>24.79</v>
      </c>
      <c r="J35" s="2">
        <v>73.75</v>
      </c>
      <c r="K35" s="2">
        <v>27.7</v>
      </c>
      <c r="L35" s="2">
        <v>0.05</v>
      </c>
      <c r="M35" s="2">
        <v>17.54</v>
      </c>
      <c r="N35" s="2">
        <v>66.63</v>
      </c>
      <c r="O35" s="2">
        <v>27.24</v>
      </c>
      <c r="P35" s="2">
        <v>70.739999999999995</v>
      </c>
      <c r="Q35" s="2">
        <f t="shared" si="0"/>
        <v>8.4107074613257122</v>
      </c>
      <c r="R35" s="2">
        <v>30.872205678740599</v>
      </c>
      <c r="S35" s="2">
        <v>25.54</v>
      </c>
    </row>
    <row r="36" spans="1:19" x14ac:dyDescent="0.25">
      <c r="A36" s="2">
        <v>35</v>
      </c>
      <c r="B36" s="2" t="s">
        <v>54</v>
      </c>
      <c r="C36" s="2">
        <v>24</v>
      </c>
      <c r="D36" s="2">
        <v>23.48</v>
      </c>
      <c r="E36" s="2">
        <v>11.88</v>
      </c>
      <c r="F36" s="2">
        <v>141.18</v>
      </c>
      <c r="G36" s="2">
        <v>50.6</v>
      </c>
      <c r="H36" s="2">
        <v>1.42</v>
      </c>
      <c r="I36" s="2">
        <v>41.7</v>
      </c>
      <c r="J36" s="2">
        <v>75.05</v>
      </c>
      <c r="K36" s="2">
        <v>28.14</v>
      </c>
      <c r="L36" s="2">
        <v>0.19</v>
      </c>
      <c r="M36" s="2">
        <v>17.940000000000001</v>
      </c>
      <c r="N36" s="2">
        <v>44.01</v>
      </c>
      <c r="O36" s="2">
        <v>22.6</v>
      </c>
      <c r="P36" s="2">
        <v>54.76</v>
      </c>
      <c r="Q36" s="2">
        <f t="shared" si="0"/>
        <v>7.3999999999999995</v>
      </c>
      <c r="R36" s="2">
        <v>32.737890330313803</v>
      </c>
      <c r="S36" s="2">
        <v>22.19</v>
      </c>
    </row>
    <row r="37" spans="1:19" x14ac:dyDescent="0.25">
      <c r="A37" s="2">
        <v>36</v>
      </c>
      <c r="B37" s="2" t="s">
        <v>55</v>
      </c>
      <c r="C37" s="2">
        <v>15</v>
      </c>
      <c r="D37" s="2">
        <v>33.04</v>
      </c>
      <c r="E37" s="2">
        <v>22.58</v>
      </c>
      <c r="F37" s="2">
        <v>510.06</v>
      </c>
      <c r="G37" s="2">
        <v>68.349999999999994</v>
      </c>
      <c r="H37" s="2">
        <v>0.54</v>
      </c>
      <c r="I37" s="2">
        <v>14.36</v>
      </c>
      <c r="J37" s="2">
        <v>63.52</v>
      </c>
      <c r="K37" s="2">
        <v>19.690000000000001</v>
      </c>
      <c r="L37" s="2">
        <v>5.86</v>
      </c>
      <c r="M37" s="2">
        <v>14.83</v>
      </c>
      <c r="N37" s="2">
        <v>53.96</v>
      </c>
      <c r="O37" s="2">
        <v>26.06</v>
      </c>
      <c r="P37" s="2">
        <v>68.75</v>
      </c>
      <c r="Q37" s="2">
        <f t="shared" si="0"/>
        <v>8.2915619758885004</v>
      </c>
      <c r="R37" s="2">
        <v>31.816003076671102</v>
      </c>
      <c r="S37" s="2">
        <v>25.16</v>
      </c>
    </row>
    <row r="38" spans="1:19" x14ac:dyDescent="0.25">
      <c r="A38" s="2">
        <v>37</v>
      </c>
      <c r="B38" s="2" t="s">
        <v>56</v>
      </c>
      <c r="C38" s="2">
        <v>43</v>
      </c>
      <c r="D38" s="2">
        <v>5.82</v>
      </c>
      <c r="E38" s="2">
        <v>3.08</v>
      </c>
      <c r="F38" s="2">
        <v>9.48</v>
      </c>
      <c r="G38" s="2">
        <v>52.86</v>
      </c>
      <c r="H38" s="2">
        <v>0.67</v>
      </c>
      <c r="I38" s="2">
        <v>19</v>
      </c>
      <c r="J38" s="2">
        <v>68.77</v>
      </c>
      <c r="K38" s="2">
        <v>21.84</v>
      </c>
      <c r="L38" s="2">
        <v>0.04</v>
      </c>
      <c r="M38" s="2">
        <v>17.55</v>
      </c>
      <c r="N38" s="2">
        <v>52.73</v>
      </c>
      <c r="O38" s="2">
        <v>7.76</v>
      </c>
      <c r="P38" s="2">
        <v>8.5399999999999991</v>
      </c>
      <c r="Q38" s="2">
        <f t="shared" si="0"/>
        <v>2.9223278392404914</v>
      </c>
      <c r="R38" s="2">
        <v>37.649354089048003</v>
      </c>
      <c r="S38" s="2">
        <v>21.23</v>
      </c>
    </row>
    <row r="39" spans="1:19" x14ac:dyDescent="0.25">
      <c r="A39" s="2">
        <v>38</v>
      </c>
      <c r="B39" s="2" t="s">
        <v>57</v>
      </c>
      <c r="C39" s="2">
        <v>14</v>
      </c>
      <c r="D39" s="2" t="s">
        <v>50</v>
      </c>
      <c r="E39" s="2" t="s">
        <v>50</v>
      </c>
      <c r="F39" s="2" t="s">
        <v>50</v>
      </c>
      <c r="G39" s="2" t="s">
        <v>50</v>
      </c>
      <c r="H39" s="2">
        <v>0.87</v>
      </c>
      <c r="I39" s="2">
        <v>21.16</v>
      </c>
      <c r="J39" s="2">
        <v>65.27</v>
      </c>
      <c r="K39" s="2">
        <v>25.22</v>
      </c>
      <c r="L39" s="2">
        <v>7.0000000000000007E-2</v>
      </c>
      <c r="M39" s="2">
        <v>15.93</v>
      </c>
      <c r="N39" s="2">
        <v>33.42</v>
      </c>
      <c r="O39" s="2" t="s">
        <v>50</v>
      </c>
      <c r="P39" s="2" t="s">
        <v>50</v>
      </c>
      <c r="Q39" s="2" t="s">
        <v>50</v>
      </c>
      <c r="R39" s="2" t="s">
        <v>50</v>
      </c>
      <c r="S39" s="2">
        <v>18.600000000000001</v>
      </c>
    </row>
    <row r="40" spans="1:19" x14ac:dyDescent="0.25">
      <c r="A40" s="2">
        <v>39</v>
      </c>
      <c r="B40" s="2" t="s">
        <v>58</v>
      </c>
      <c r="C40" s="2">
        <v>21</v>
      </c>
      <c r="D40" s="2">
        <v>27.83</v>
      </c>
      <c r="E40" s="2">
        <v>14.3</v>
      </c>
      <c r="F40" s="2">
        <v>204.59</v>
      </c>
      <c r="G40" s="2">
        <v>51.39</v>
      </c>
      <c r="H40" s="2">
        <v>0.76</v>
      </c>
      <c r="I40" s="2">
        <v>15.32</v>
      </c>
      <c r="J40" s="2">
        <v>66.67</v>
      </c>
      <c r="K40" s="2">
        <v>21.55</v>
      </c>
      <c r="L40" s="2">
        <v>0.01</v>
      </c>
      <c r="M40" s="2">
        <v>15.92</v>
      </c>
      <c r="N40" s="2">
        <v>28.55</v>
      </c>
      <c r="O40" s="2">
        <v>19.21</v>
      </c>
      <c r="P40" s="2">
        <v>56.18</v>
      </c>
      <c r="Q40" s="2">
        <f t="shared" si="0"/>
        <v>7.4953318805774041</v>
      </c>
      <c r="R40" s="2">
        <v>39.026337274245002</v>
      </c>
      <c r="S40" s="2">
        <v>16.43</v>
      </c>
    </row>
    <row r="41" spans="1:19" x14ac:dyDescent="0.25">
      <c r="A41" s="2">
        <v>40</v>
      </c>
      <c r="B41" s="2" t="s">
        <v>59</v>
      </c>
      <c r="C41" s="2">
        <v>10</v>
      </c>
      <c r="D41" s="2" t="s">
        <v>50</v>
      </c>
      <c r="E41" s="2" t="s">
        <v>50</v>
      </c>
      <c r="F41" s="2" t="s">
        <v>50</v>
      </c>
      <c r="G41" s="2" t="s">
        <v>50</v>
      </c>
      <c r="H41" s="2">
        <v>0.72</v>
      </c>
      <c r="I41" s="2">
        <v>9.7100000000000009</v>
      </c>
      <c r="J41" s="2">
        <v>65.05</v>
      </c>
      <c r="K41" s="2">
        <v>26.89</v>
      </c>
      <c r="L41" s="2">
        <v>0.04</v>
      </c>
      <c r="M41" s="2">
        <v>15.64</v>
      </c>
      <c r="N41" s="2">
        <v>37.18</v>
      </c>
      <c r="O41" s="2" t="s">
        <v>50</v>
      </c>
      <c r="P41" s="2" t="s">
        <v>50</v>
      </c>
      <c r="Q41" s="2" t="s">
        <v>50</v>
      </c>
      <c r="R41" s="2" t="s">
        <v>50</v>
      </c>
      <c r="S41" s="2">
        <v>19.87</v>
      </c>
    </row>
    <row r="42" spans="1:19" x14ac:dyDescent="0.25">
      <c r="A42" s="2">
        <v>41</v>
      </c>
      <c r="B42" s="2" t="s">
        <v>60</v>
      </c>
      <c r="C42" s="2">
        <v>43</v>
      </c>
      <c r="D42" s="2">
        <v>22.16</v>
      </c>
      <c r="E42" s="2">
        <v>10.210000000000001</v>
      </c>
      <c r="F42" s="2">
        <v>104.18</v>
      </c>
      <c r="G42" s="2">
        <v>46.06</v>
      </c>
      <c r="H42" s="2">
        <v>1.25</v>
      </c>
      <c r="I42" s="2">
        <v>12.23</v>
      </c>
      <c r="J42" s="2">
        <v>67.430000000000007</v>
      </c>
      <c r="K42" s="2">
        <v>24.75</v>
      </c>
      <c r="L42" s="2">
        <v>0.01</v>
      </c>
      <c r="M42" s="2">
        <v>15.35</v>
      </c>
      <c r="N42" s="2">
        <v>30.94</v>
      </c>
      <c r="O42" s="2">
        <v>19.66</v>
      </c>
      <c r="P42" s="2">
        <v>44.65</v>
      </c>
      <c r="Q42" s="2">
        <f t="shared" si="0"/>
        <v>6.6820655489152454</v>
      </c>
      <c r="R42" s="2">
        <v>33.996396721249397</v>
      </c>
      <c r="S42" s="2">
        <v>18.079999999999998</v>
      </c>
    </row>
    <row r="43" spans="1:19" x14ac:dyDescent="0.25">
      <c r="A43" s="2">
        <v>42</v>
      </c>
      <c r="B43" s="2" t="s">
        <v>61</v>
      </c>
      <c r="C43" s="2">
        <v>37</v>
      </c>
      <c r="D43" s="2">
        <v>13.48</v>
      </c>
      <c r="E43" s="2">
        <v>10.210000000000001</v>
      </c>
      <c r="F43" s="2">
        <v>104.17</v>
      </c>
      <c r="G43" s="2">
        <v>75.709999999999994</v>
      </c>
      <c r="H43" s="2">
        <v>1.69</v>
      </c>
      <c r="I43" s="2">
        <v>5.46</v>
      </c>
      <c r="J43" s="2">
        <v>70.09</v>
      </c>
      <c r="K43" s="2">
        <v>22.1</v>
      </c>
      <c r="L43" s="2">
        <v>0.02</v>
      </c>
      <c r="M43" s="2">
        <v>15.66</v>
      </c>
      <c r="N43" s="2">
        <v>32.130000000000003</v>
      </c>
      <c r="O43" s="2">
        <v>16.18</v>
      </c>
      <c r="P43" s="2">
        <v>45.22</v>
      </c>
      <c r="Q43" s="2">
        <f t="shared" si="0"/>
        <v>6.7245817713817715</v>
      </c>
      <c r="R43" s="2">
        <v>41.552030474699897</v>
      </c>
      <c r="S43" s="2">
        <v>17.89</v>
      </c>
    </row>
    <row r="44" spans="1:19" x14ac:dyDescent="0.25">
      <c r="A44" s="2">
        <v>43</v>
      </c>
      <c r="B44" s="2" t="s">
        <v>62</v>
      </c>
      <c r="C44" s="2">
        <v>30</v>
      </c>
      <c r="D44" s="2">
        <v>35.229999999999997</v>
      </c>
      <c r="E44" s="2">
        <v>17.53</v>
      </c>
      <c r="F44" s="2">
        <v>307.22000000000003</v>
      </c>
      <c r="G44" s="2">
        <v>49.75</v>
      </c>
      <c r="H44" s="2">
        <v>3.44</v>
      </c>
      <c r="I44" s="2">
        <v>7.78</v>
      </c>
      <c r="J44" s="2">
        <v>61.28</v>
      </c>
      <c r="K44" s="2">
        <v>34.72</v>
      </c>
      <c r="L44" s="2">
        <v>0.01</v>
      </c>
      <c r="M44" s="2">
        <v>14.49</v>
      </c>
      <c r="N44" s="2">
        <v>37.82</v>
      </c>
      <c r="O44" s="2">
        <v>26.12</v>
      </c>
      <c r="P44" s="2">
        <v>74.75</v>
      </c>
      <c r="Q44" s="2">
        <f t="shared" si="0"/>
        <v>8.6458082328952912</v>
      </c>
      <c r="R44" s="2">
        <v>33.100920162072597</v>
      </c>
      <c r="S44" s="2">
        <v>24.17</v>
      </c>
    </row>
    <row r="45" spans="1:19" x14ac:dyDescent="0.25">
      <c r="A45" s="2">
        <v>44</v>
      </c>
      <c r="B45" s="2" t="s">
        <v>63</v>
      </c>
      <c r="C45" s="2">
        <v>68</v>
      </c>
      <c r="D45" s="2">
        <v>30.53</v>
      </c>
      <c r="E45" s="2">
        <v>8.09</v>
      </c>
      <c r="F45" s="2">
        <v>65.510000000000005</v>
      </c>
      <c r="G45" s="2">
        <v>26.51</v>
      </c>
      <c r="H45" s="2">
        <v>2.52</v>
      </c>
      <c r="I45" s="2">
        <v>24.74</v>
      </c>
      <c r="J45" s="2">
        <v>72.319999999999993</v>
      </c>
      <c r="K45" s="2">
        <v>22</v>
      </c>
      <c r="L45" s="2">
        <v>0.13</v>
      </c>
      <c r="M45" s="2">
        <v>12.99</v>
      </c>
      <c r="N45" s="2">
        <v>35.299999999999997</v>
      </c>
      <c r="O45" s="2">
        <v>23.71</v>
      </c>
      <c r="P45" s="2">
        <v>35.15</v>
      </c>
      <c r="Q45" s="2">
        <f t="shared" si="0"/>
        <v>5.9287435431126552</v>
      </c>
      <c r="R45" s="2">
        <v>25.0041772831119</v>
      </c>
      <c r="S45" s="2">
        <v>16.86</v>
      </c>
    </row>
    <row r="46" spans="1:19" x14ac:dyDescent="0.25">
      <c r="A46" s="2">
        <v>45</v>
      </c>
      <c r="B46" s="2" t="s">
        <v>64</v>
      </c>
      <c r="C46" s="2">
        <v>54</v>
      </c>
      <c r="D46" s="2">
        <v>23.67</v>
      </c>
      <c r="E46" s="2">
        <v>6.95</v>
      </c>
      <c r="F46" s="2">
        <v>48.35</v>
      </c>
      <c r="G46" s="2">
        <v>29.38</v>
      </c>
      <c r="H46" s="2">
        <v>1.8</v>
      </c>
      <c r="I46" s="2">
        <v>10.15</v>
      </c>
      <c r="J46" s="2">
        <v>61.75</v>
      </c>
      <c r="K46" s="2">
        <v>26.51</v>
      </c>
      <c r="L46" s="2">
        <v>0.02</v>
      </c>
      <c r="M46" s="2">
        <v>15.27</v>
      </c>
      <c r="N46" s="2">
        <v>41.34</v>
      </c>
      <c r="O46" s="2">
        <v>22.53</v>
      </c>
      <c r="P46" s="2">
        <v>30.43</v>
      </c>
      <c r="Q46" s="2">
        <f t="shared" si="0"/>
        <v>5.5163393659201203</v>
      </c>
      <c r="R46" s="2">
        <v>24.4872497368372</v>
      </c>
      <c r="S46" s="2">
        <v>20.98</v>
      </c>
    </row>
    <row r="47" spans="1:19" x14ac:dyDescent="0.25">
      <c r="A47" s="2">
        <v>46</v>
      </c>
      <c r="B47" s="2" t="s">
        <v>65</v>
      </c>
      <c r="C47" s="2">
        <v>41</v>
      </c>
      <c r="D47" s="2">
        <v>24.92</v>
      </c>
      <c r="E47" s="2">
        <v>8.4</v>
      </c>
      <c r="F47" s="2">
        <v>70.53</v>
      </c>
      <c r="G47" s="2">
        <v>33.700000000000003</v>
      </c>
      <c r="H47" s="2">
        <v>2.36</v>
      </c>
      <c r="I47" s="2">
        <v>13.77</v>
      </c>
      <c r="J47" s="2">
        <v>68.73</v>
      </c>
      <c r="K47" s="2">
        <v>22.46</v>
      </c>
      <c r="L47" s="2">
        <v>0.04</v>
      </c>
      <c r="M47" s="2">
        <v>12.76</v>
      </c>
      <c r="N47" s="2">
        <v>40.58</v>
      </c>
      <c r="O47" s="2">
        <v>21.33</v>
      </c>
      <c r="P47" s="2">
        <v>36.450000000000003</v>
      </c>
      <c r="Q47" s="2">
        <f t="shared" si="0"/>
        <v>6.0373835392494328</v>
      </c>
      <c r="R47" s="2">
        <v>28.3039364300746</v>
      </c>
      <c r="S47" s="2">
        <v>17.98</v>
      </c>
    </row>
    <row r="48" spans="1:19" x14ac:dyDescent="0.25">
      <c r="A48" s="2">
        <v>47</v>
      </c>
      <c r="B48" s="2" t="s">
        <v>66</v>
      </c>
      <c r="C48" s="2">
        <v>42</v>
      </c>
      <c r="D48" s="2">
        <v>39.6</v>
      </c>
      <c r="E48" s="2">
        <v>10.73</v>
      </c>
      <c r="F48" s="2">
        <v>115.19</v>
      </c>
      <c r="G48" s="2">
        <v>27.11</v>
      </c>
      <c r="H48" s="2">
        <v>1.48</v>
      </c>
      <c r="I48" s="2">
        <v>11.71</v>
      </c>
      <c r="J48" s="2">
        <v>72.23</v>
      </c>
      <c r="K48" s="2">
        <v>24.65</v>
      </c>
      <c r="L48" s="2">
        <v>0.03</v>
      </c>
      <c r="M48" s="2">
        <v>14.95</v>
      </c>
      <c r="N48" s="2">
        <v>40.51</v>
      </c>
      <c r="O48" s="2">
        <v>26.75</v>
      </c>
      <c r="P48" s="2">
        <v>45.84</v>
      </c>
      <c r="Q48" s="2">
        <f t="shared" si="0"/>
        <v>6.770524351924303</v>
      </c>
      <c r="R48" s="2">
        <v>25.310782186896802</v>
      </c>
      <c r="S48" s="2">
        <v>19.420000000000002</v>
      </c>
    </row>
    <row r="49" spans="1:19" x14ac:dyDescent="0.25">
      <c r="A49" s="2">
        <v>48</v>
      </c>
      <c r="B49" s="2" t="s">
        <v>67</v>
      </c>
      <c r="C49" s="2">
        <v>42</v>
      </c>
      <c r="D49" s="2">
        <v>17.91</v>
      </c>
      <c r="E49" s="2">
        <v>6.61</v>
      </c>
      <c r="F49" s="2">
        <v>43.64</v>
      </c>
      <c r="G49" s="2">
        <v>36.89</v>
      </c>
      <c r="H49" s="2">
        <v>1.91</v>
      </c>
      <c r="I49" s="2">
        <v>5.26</v>
      </c>
      <c r="J49" s="2">
        <v>69.27</v>
      </c>
      <c r="K49" s="2">
        <v>12.69</v>
      </c>
      <c r="L49" s="2">
        <v>0.02</v>
      </c>
      <c r="M49" s="2">
        <v>16.21</v>
      </c>
      <c r="N49" s="2">
        <v>37.5</v>
      </c>
      <c r="O49" s="2">
        <v>17.05</v>
      </c>
      <c r="P49" s="2">
        <v>29.55</v>
      </c>
      <c r="Q49" s="2">
        <f t="shared" si="0"/>
        <v>5.4359911699707535</v>
      </c>
      <c r="R49" s="2">
        <v>31.876317139380699</v>
      </c>
      <c r="S49" s="2">
        <v>15.76</v>
      </c>
    </row>
    <row r="50" spans="1:19" x14ac:dyDescent="0.25">
      <c r="A50" s="2">
        <v>49</v>
      </c>
      <c r="B50" s="2" t="s">
        <v>68</v>
      </c>
      <c r="C50" s="2">
        <v>126</v>
      </c>
      <c r="D50" s="2">
        <v>10.1</v>
      </c>
      <c r="E50" s="2">
        <v>4.04</v>
      </c>
      <c r="F50" s="2">
        <v>16.350000000000001</v>
      </c>
      <c r="G50" s="2">
        <v>40.049999999999997</v>
      </c>
      <c r="H50" s="2">
        <v>0.81</v>
      </c>
      <c r="I50" s="2">
        <v>8.14</v>
      </c>
      <c r="J50" s="2">
        <v>49.36</v>
      </c>
      <c r="K50" s="2">
        <v>14.6</v>
      </c>
      <c r="L50" s="2">
        <v>0.32</v>
      </c>
      <c r="M50" s="2">
        <v>17.52</v>
      </c>
      <c r="N50" s="2">
        <v>40.58</v>
      </c>
      <c r="O50" s="2">
        <v>11.63</v>
      </c>
      <c r="P50" s="2">
        <v>14.02</v>
      </c>
      <c r="Q50" s="2">
        <f t="shared" si="0"/>
        <v>3.744329045369811</v>
      </c>
      <c r="R50" s="2">
        <v>32.201070721711801</v>
      </c>
      <c r="S50" s="2">
        <v>17.8</v>
      </c>
    </row>
    <row r="51" spans="1:19" x14ac:dyDescent="0.25">
      <c r="A51" s="2">
        <v>50</v>
      </c>
      <c r="B51" s="2" t="s">
        <v>69</v>
      </c>
      <c r="C51" s="2">
        <v>8</v>
      </c>
      <c r="D51" s="2">
        <v>77.53</v>
      </c>
      <c r="E51" s="2">
        <v>22.16</v>
      </c>
      <c r="F51" s="2">
        <v>491.28</v>
      </c>
      <c r="G51" s="2">
        <v>28.59</v>
      </c>
      <c r="H51" s="2">
        <v>1.1299999999999999</v>
      </c>
      <c r="I51" s="2">
        <v>3.46</v>
      </c>
      <c r="J51" s="2">
        <v>46.74</v>
      </c>
      <c r="K51" s="2">
        <v>16.940000000000001</v>
      </c>
      <c r="L51" s="2">
        <v>0.5</v>
      </c>
      <c r="M51" s="2">
        <v>17.63</v>
      </c>
      <c r="N51" s="2">
        <v>42.04</v>
      </c>
      <c r="O51" s="2">
        <v>26.42</v>
      </c>
      <c r="P51" s="2">
        <v>73.739999999999995</v>
      </c>
      <c r="Q51" s="2">
        <f t="shared" si="0"/>
        <v>8.5871997764113992</v>
      </c>
      <c r="R51" s="2">
        <v>32.507960924381699</v>
      </c>
      <c r="S51" s="2">
        <v>19.57</v>
      </c>
    </row>
    <row r="52" spans="1:19" x14ac:dyDescent="0.25">
      <c r="A52" s="2">
        <v>51</v>
      </c>
      <c r="B52" s="2" t="s">
        <v>70</v>
      </c>
      <c r="C52" s="2">
        <v>61</v>
      </c>
      <c r="D52" s="2">
        <v>20.46</v>
      </c>
      <c r="E52" s="2">
        <v>8.27</v>
      </c>
      <c r="F52" s="2">
        <v>68.45</v>
      </c>
      <c r="G52" s="2">
        <v>40.43</v>
      </c>
      <c r="H52" s="2">
        <v>0.88</v>
      </c>
      <c r="I52" s="2">
        <v>7.74</v>
      </c>
      <c r="J52" s="2">
        <v>49.51</v>
      </c>
      <c r="K52" s="2">
        <v>12.9</v>
      </c>
      <c r="L52" s="2">
        <v>1.1599999999999999</v>
      </c>
      <c r="M52" s="2">
        <v>13.98</v>
      </c>
      <c r="N52" s="2">
        <v>47.04</v>
      </c>
      <c r="O52" s="2">
        <v>18.73</v>
      </c>
      <c r="P52" s="2">
        <v>38.56</v>
      </c>
      <c r="Q52" s="2">
        <f t="shared" si="0"/>
        <v>6.2096698785040099</v>
      </c>
      <c r="R52" s="2">
        <v>33.149642451720197</v>
      </c>
      <c r="S52" s="2">
        <v>17.07</v>
      </c>
    </row>
    <row r="53" spans="1:19" x14ac:dyDescent="0.25">
      <c r="A53" s="2">
        <v>52</v>
      </c>
      <c r="B53" s="2" t="s">
        <v>71</v>
      </c>
      <c r="C53" s="2">
        <v>42</v>
      </c>
      <c r="D53" s="2">
        <v>10.15</v>
      </c>
      <c r="E53" s="2">
        <v>5.77</v>
      </c>
      <c r="F53" s="2">
        <v>33.25</v>
      </c>
      <c r="G53" s="2">
        <v>56.78</v>
      </c>
      <c r="H53" s="2">
        <v>1.39</v>
      </c>
      <c r="I53" s="2">
        <v>6.55</v>
      </c>
      <c r="J53" s="2">
        <v>58.71</v>
      </c>
      <c r="K53" s="2">
        <v>15.49</v>
      </c>
      <c r="L53" s="2">
        <v>0.03</v>
      </c>
      <c r="M53" s="2">
        <v>16.38</v>
      </c>
      <c r="N53" s="2">
        <v>28.02</v>
      </c>
      <c r="O53" s="2">
        <v>11.88</v>
      </c>
      <c r="P53" s="2">
        <v>24.16</v>
      </c>
      <c r="Q53" s="2">
        <f t="shared" si="0"/>
        <v>4.9152822909778031</v>
      </c>
      <c r="R53" s="2">
        <v>41.379464058099003</v>
      </c>
      <c r="S53" s="2">
        <v>15.29</v>
      </c>
    </row>
    <row r="54" spans="1:19" x14ac:dyDescent="0.25">
      <c r="A54" s="2">
        <v>53</v>
      </c>
      <c r="B54" s="2" t="s">
        <v>72</v>
      </c>
      <c r="C54" s="2">
        <v>43</v>
      </c>
      <c r="D54" s="2">
        <v>20.85</v>
      </c>
      <c r="E54" s="2">
        <v>9.76</v>
      </c>
      <c r="F54" s="2">
        <v>95.32</v>
      </c>
      <c r="G54" s="2">
        <v>46.82</v>
      </c>
      <c r="H54" s="2">
        <v>1.22</v>
      </c>
      <c r="I54" s="2">
        <v>6.28</v>
      </c>
      <c r="J54" s="2">
        <v>59.25</v>
      </c>
      <c r="K54" s="2">
        <v>15.97</v>
      </c>
      <c r="L54" s="2">
        <v>0.47</v>
      </c>
      <c r="M54" s="2">
        <v>15.35</v>
      </c>
      <c r="N54" s="2">
        <v>52.8</v>
      </c>
      <c r="O54" s="2">
        <v>19.89</v>
      </c>
      <c r="P54" s="2">
        <v>43.43</v>
      </c>
      <c r="Q54" s="2">
        <f t="shared" si="0"/>
        <v>6.5901441562381624</v>
      </c>
      <c r="R54" s="2">
        <v>33.130364235207502</v>
      </c>
      <c r="S54" s="2">
        <v>19.23</v>
      </c>
    </row>
    <row r="55" spans="1:19" x14ac:dyDescent="0.25">
      <c r="A55" s="2">
        <v>54</v>
      </c>
      <c r="B55" s="2" t="s">
        <v>73</v>
      </c>
      <c r="C55" s="2">
        <v>42</v>
      </c>
      <c r="D55" s="2">
        <v>13.92</v>
      </c>
      <c r="E55" s="2">
        <v>7.59</v>
      </c>
      <c r="F55" s="2">
        <v>57.54</v>
      </c>
      <c r="G55" s="2">
        <v>54.49</v>
      </c>
      <c r="H55" s="2">
        <v>1.51</v>
      </c>
      <c r="I55" s="2">
        <v>5.6</v>
      </c>
      <c r="J55" s="2">
        <v>67.22</v>
      </c>
      <c r="K55" s="2">
        <v>20.85</v>
      </c>
      <c r="L55" s="2">
        <v>0.15</v>
      </c>
      <c r="M55" s="2">
        <v>16.64</v>
      </c>
      <c r="N55" s="2">
        <v>61.35</v>
      </c>
      <c r="O55" s="2">
        <v>18.079999999999998</v>
      </c>
      <c r="P55" s="2">
        <v>35.18</v>
      </c>
      <c r="Q55" s="2">
        <f t="shared" si="0"/>
        <v>5.9312730505347666</v>
      </c>
      <c r="R55" s="2">
        <v>32.797163853588799</v>
      </c>
      <c r="S55" s="2">
        <v>22.84</v>
      </c>
    </row>
    <row r="56" spans="1:19" x14ac:dyDescent="0.25">
      <c r="A56" s="2">
        <v>55</v>
      </c>
      <c r="B56" s="2" t="s">
        <v>74</v>
      </c>
      <c r="C56" s="2">
        <v>24</v>
      </c>
      <c r="D56" s="2">
        <v>44.43</v>
      </c>
      <c r="E56" s="2">
        <v>10.14</v>
      </c>
      <c r="F56" s="2">
        <v>102.76</v>
      </c>
      <c r="G56" s="2">
        <v>22.82</v>
      </c>
      <c r="H56" s="2">
        <v>1.56</v>
      </c>
      <c r="I56" s="2">
        <v>7.49</v>
      </c>
      <c r="J56" s="2">
        <v>66.72</v>
      </c>
      <c r="K56" s="2">
        <v>21.52</v>
      </c>
      <c r="L56" s="2">
        <v>0.09</v>
      </c>
      <c r="M56" s="2">
        <v>16.8</v>
      </c>
      <c r="N56" s="2">
        <v>50.86</v>
      </c>
      <c r="O56" s="2">
        <v>30.39</v>
      </c>
      <c r="P56" s="2">
        <v>44.51</v>
      </c>
      <c r="Q56" s="2">
        <f t="shared" si="0"/>
        <v>6.6715815216483714</v>
      </c>
      <c r="R56" s="2">
        <v>21.952090632589499</v>
      </c>
      <c r="S56" s="2">
        <v>21.41</v>
      </c>
    </row>
    <row r="57" spans="1:19" x14ac:dyDescent="0.25">
      <c r="A57" s="2">
        <v>56</v>
      </c>
      <c r="B57" s="2" t="s">
        <v>75</v>
      </c>
      <c r="C57" s="2">
        <v>48</v>
      </c>
      <c r="D57" s="2">
        <v>23.58</v>
      </c>
      <c r="E57" s="2">
        <v>9.68</v>
      </c>
      <c r="F57" s="2">
        <v>93.71</v>
      </c>
      <c r="G57" s="2">
        <v>41.06</v>
      </c>
      <c r="H57" s="2">
        <v>1.38</v>
      </c>
      <c r="I57" s="2">
        <v>5.0199999999999996</v>
      </c>
      <c r="J57" s="2">
        <v>62.76</v>
      </c>
      <c r="K57" s="2">
        <v>18.36</v>
      </c>
      <c r="L57" s="2">
        <v>0.61</v>
      </c>
      <c r="M57" s="2">
        <v>14.78</v>
      </c>
      <c r="N57" s="2">
        <v>53.22</v>
      </c>
      <c r="O57" s="2">
        <v>21.5</v>
      </c>
      <c r="P57" s="2">
        <v>42.85</v>
      </c>
      <c r="Q57" s="2">
        <f t="shared" si="0"/>
        <v>6.5459911396212567</v>
      </c>
      <c r="R57" s="2">
        <v>30.445811401909701</v>
      </c>
      <c r="S57" s="2">
        <v>20.04</v>
      </c>
    </row>
    <row r="58" spans="1:19" x14ac:dyDescent="0.25">
      <c r="A58" s="2">
        <v>57</v>
      </c>
      <c r="B58" s="2" t="s">
        <v>76</v>
      </c>
      <c r="C58" s="2">
        <v>46</v>
      </c>
      <c r="D58" s="2">
        <v>22.97</v>
      </c>
      <c r="E58" s="2">
        <v>6.1</v>
      </c>
      <c r="F58" s="2">
        <v>37.17</v>
      </c>
      <c r="G58" s="2">
        <v>26.54</v>
      </c>
      <c r="H58" s="2">
        <v>3.65</v>
      </c>
      <c r="I58" s="2">
        <v>18.829999999999998</v>
      </c>
      <c r="J58" s="2">
        <v>70.83</v>
      </c>
      <c r="K58" s="2">
        <v>21.08</v>
      </c>
      <c r="L58" s="2">
        <v>0.41</v>
      </c>
      <c r="M58" s="2">
        <v>15.59</v>
      </c>
      <c r="N58" s="2">
        <v>39.630000000000003</v>
      </c>
      <c r="O58" s="2">
        <v>21.89</v>
      </c>
      <c r="P58" s="2">
        <v>25.36</v>
      </c>
      <c r="Q58" s="2">
        <f t="shared" si="0"/>
        <v>5.0358713248056688</v>
      </c>
      <c r="R58" s="2">
        <v>22.9995748556615</v>
      </c>
      <c r="S58" s="2">
        <v>19.989999999999998</v>
      </c>
    </row>
    <row r="59" spans="1:19" x14ac:dyDescent="0.25">
      <c r="A59" s="2">
        <v>58</v>
      </c>
      <c r="B59" s="2" t="s">
        <v>77</v>
      </c>
      <c r="C59" s="2">
        <v>38</v>
      </c>
      <c r="D59" s="2">
        <v>23.3</v>
      </c>
      <c r="E59" s="2">
        <v>11.82</v>
      </c>
      <c r="F59" s="2">
        <v>139.63999999999999</v>
      </c>
      <c r="G59" s="2">
        <v>50.71</v>
      </c>
      <c r="H59" s="2">
        <v>2</v>
      </c>
      <c r="I59" s="2">
        <v>4.72</v>
      </c>
      <c r="J59" s="2">
        <v>65.25</v>
      </c>
      <c r="K59" s="2">
        <v>15.27</v>
      </c>
      <c r="L59" s="2">
        <v>0.22</v>
      </c>
      <c r="M59" s="2">
        <v>14.3</v>
      </c>
      <c r="N59" s="2">
        <v>41.19</v>
      </c>
      <c r="O59" s="2">
        <v>18.75</v>
      </c>
      <c r="P59" s="2">
        <v>50.08</v>
      </c>
      <c r="Q59" s="2">
        <f t="shared" si="0"/>
        <v>7.0767224051816529</v>
      </c>
      <c r="R59" s="2">
        <v>37.735384952425697</v>
      </c>
      <c r="S59" s="2">
        <v>16.61</v>
      </c>
    </row>
    <row r="60" spans="1:19" x14ac:dyDescent="0.25">
      <c r="A60" s="2">
        <v>59</v>
      </c>
      <c r="B60" s="2" t="s">
        <v>78</v>
      </c>
      <c r="C60" s="2">
        <v>48</v>
      </c>
      <c r="D60" s="2">
        <v>31.47</v>
      </c>
      <c r="E60" s="2">
        <v>7.53</v>
      </c>
      <c r="F60" s="2">
        <v>56.76</v>
      </c>
      <c r="G60" s="2">
        <v>23.94</v>
      </c>
      <c r="H60" s="2">
        <v>1.97</v>
      </c>
      <c r="I60" s="2">
        <v>10.220000000000001</v>
      </c>
      <c r="J60" s="2">
        <v>71.13</v>
      </c>
      <c r="K60" s="2">
        <v>15.11</v>
      </c>
      <c r="L60" s="2">
        <v>3.54</v>
      </c>
      <c r="M60" s="2">
        <v>15.38</v>
      </c>
      <c r="N60" s="2">
        <v>40.33</v>
      </c>
      <c r="O60" s="2">
        <v>26.19</v>
      </c>
      <c r="P60" s="2">
        <v>33.79</v>
      </c>
      <c r="Q60" s="2">
        <f t="shared" si="0"/>
        <v>5.8129166517334481</v>
      </c>
      <c r="R60" s="2">
        <v>22.197166011767798</v>
      </c>
      <c r="S60" s="2">
        <v>20.059999999999999</v>
      </c>
    </row>
    <row r="61" spans="1:19" x14ac:dyDescent="0.25">
      <c r="A61" s="2">
        <v>60</v>
      </c>
      <c r="B61" s="2" t="s">
        <v>79</v>
      </c>
      <c r="C61" s="2">
        <v>33</v>
      </c>
      <c r="D61" s="2">
        <v>26.9</v>
      </c>
      <c r="E61" s="2">
        <v>8.0399999999999991</v>
      </c>
      <c r="F61" s="2">
        <v>64.62</v>
      </c>
      <c r="G61" s="2">
        <v>29.88</v>
      </c>
      <c r="H61" s="2">
        <v>2.0299999999999998</v>
      </c>
      <c r="I61" s="2">
        <v>8.5299999999999994</v>
      </c>
      <c r="J61" s="2">
        <v>70.930000000000007</v>
      </c>
      <c r="K61" s="2">
        <v>25.39</v>
      </c>
      <c r="L61" s="2">
        <v>0.2</v>
      </c>
      <c r="M61" s="2">
        <v>15.08</v>
      </c>
      <c r="N61" s="2">
        <v>43.43</v>
      </c>
      <c r="O61" s="2">
        <v>23.93</v>
      </c>
      <c r="P61" s="2">
        <v>35.69</v>
      </c>
      <c r="Q61" s="2">
        <f t="shared" si="0"/>
        <v>5.9741108124975382</v>
      </c>
      <c r="R61" s="2">
        <v>24.9620257776205</v>
      </c>
      <c r="S61" s="2">
        <v>20.91</v>
      </c>
    </row>
    <row r="62" spans="1:19" x14ac:dyDescent="0.25">
      <c r="A62" s="2">
        <v>61</v>
      </c>
      <c r="B62" s="2" t="s">
        <v>80</v>
      </c>
      <c r="C62" s="2">
        <v>46</v>
      </c>
      <c r="D62" s="2">
        <v>59.19</v>
      </c>
      <c r="E62" s="2">
        <v>10.46</v>
      </c>
      <c r="F62" s="2">
        <v>109.32</v>
      </c>
      <c r="G62" s="2">
        <v>17.670000000000002</v>
      </c>
      <c r="H62" s="2">
        <v>2.85</v>
      </c>
      <c r="I62" s="2">
        <v>22.63</v>
      </c>
      <c r="J62" s="2">
        <v>73.09</v>
      </c>
      <c r="K62" s="2">
        <v>21.51</v>
      </c>
      <c r="L62" s="2">
        <v>1.04</v>
      </c>
      <c r="M62" s="2">
        <v>15.5</v>
      </c>
      <c r="N62" s="2">
        <v>41.82</v>
      </c>
      <c r="O62" s="2">
        <v>34.96</v>
      </c>
      <c r="P62" s="2">
        <v>44.35</v>
      </c>
      <c r="Q62" s="2">
        <f t="shared" si="0"/>
        <v>6.6595795663089721</v>
      </c>
      <c r="R62" s="2">
        <v>19.049508228081599</v>
      </c>
      <c r="S62" s="2">
        <v>20.38</v>
      </c>
    </row>
    <row r="63" spans="1:19" x14ac:dyDescent="0.25">
      <c r="A63" s="2">
        <v>62</v>
      </c>
      <c r="B63" s="2" t="s">
        <v>81</v>
      </c>
      <c r="C63" s="2">
        <v>19</v>
      </c>
      <c r="D63" s="2">
        <v>43.6</v>
      </c>
      <c r="E63" s="2">
        <v>25.7</v>
      </c>
      <c r="F63" s="2">
        <v>660.59</v>
      </c>
      <c r="G63" s="2">
        <v>58.94</v>
      </c>
      <c r="H63" s="2">
        <v>1.95</v>
      </c>
      <c r="I63" s="2">
        <v>9.39</v>
      </c>
      <c r="J63" s="2">
        <v>70.94</v>
      </c>
      <c r="K63" s="2">
        <v>15.27</v>
      </c>
      <c r="L63" s="2">
        <v>3.4</v>
      </c>
      <c r="M63" s="2">
        <v>16.05</v>
      </c>
      <c r="N63" s="2">
        <v>34.340000000000003</v>
      </c>
      <c r="O63" s="2">
        <v>21.6</v>
      </c>
      <c r="P63" s="2">
        <v>69.19</v>
      </c>
      <c r="Q63" s="2">
        <f t="shared" si="0"/>
        <v>8.3180526567220046</v>
      </c>
      <c r="R63" s="2">
        <v>38.5152834240563</v>
      </c>
      <c r="S63" s="2">
        <v>19.41</v>
      </c>
    </row>
    <row r="64" spans="1:19" x14ac:dyDescent="0.25">
      <c r="A64" s="2">
        <v>63</v>
      </c>
      <c r="B64" s="2" t="s">
        <v>82</v>
      </c>
      <c r="C64" s="2">
        <v>36</v>
      </c>
      <c r="D64" s="2">
        <v>55.21</v>
      </c>
      <c r="E64" s="2">
        <v>16.190000000000001</v>
      </c>
      <c r="F64" s="2">
        <v>262.24</v>
      </c>
      <c r="G64" s="2">
        <v>29.33</v>
      </c>
      <c r="H64" s="2">
        <v>2.3199999999999998</v>
      </c>
      <c r="I64" s="2">
        <v>7.71</v>
      </c>
      <c r="J64" s="2">
        <v>74</v>
      </c>
      <c r="K64" s="2">
        <v>22.04</v>
      </c>
      <c r="L64" s="2">
        <v>0.1</v>
      </c>
      <c r="M64" s="2">
        <v>15.32</v>
      </c>
      <c r="N64" s="2">
        <v>41.51</v>
      </c>
      <c r="O64" s="2">
        <v>26.68</v>
      </c>
      <c r="P64" s="2">
        <v>59.83</v>
      </c>
      <c r="Q64" s="2">
        <f t="shared" si="0"/>
        <v>7.7349854557070756</v>
      </c>
      <c r="R64" s="2">
        <v>28.9943030559539</v>
      </c>
      <c r="S64" s="2">
        <v>19.52</v>
      </c>
    </row>
    <row r="65" spans="1:19" x14ac:dyDescent="0.25">
      <c r="A65" s="2">
        <v>64</v>
      </c>
      <c r="B65" s="2" t="s">
        <v>83</v>
      </c>
      <c r="C65" s="2">
        <v>34</v>
      </c>
      <c r="D65" s="2">
        <v>26.45</v>
      </c>
      <c r="E65" s="2">
        <v>11.15</v>
      </c>
      <c r="F65" s="2">
        <v>124.31</v>
      </c>
      <c r="G65" s="2">
        <v>42.16</v>
      </c>
      <c r="H65" s="2">
        <v>2</v>
      </c>
      <c r="I65" s="2">
        <v>7.58</v>
      </c>
      <c r="J65" s="2">
        <v>71.78</v>
      </c>
      <c r="K65" s="2">
        <v>20.07</v>
      </c>
      <c r="L65" s="2">
        <v>0.79</v>
      </c>
      <c r="M65" s="2">
        <v>15.13</v>
      </c>
      <c r="N65" s="2">
        <v>51.38</v>
      </c>
      <c r="O65" s="2">
        <v>22.78</v>
      </c>
      <c r="P65" s="2">
        <v>48.79</v>
      </c>
      <c r="Q65" s="2">
        <f t="shared" si="0"/>
        <v>6.9849838940401288</v>
      </c>
      <c r="R65" s="2">
        <v>30.660384549108599</v>
      </c>
      <c r="S65" s="2">
        <v>20.84</v>
      </c>
    </row>
    <row r="66" spans="1:19" x14ac:dyDescent="0.25">
      <c r="A66" s="2">
        <v>65</v>
      </c>
      <c r="B66" s="2" t="s">
        <v>84</v>
      </c>
      <c r="C66" s="2">
        <v>5</v>
      </c>
      <c r="D66" s="2">
        <v>21.25</v>
      </c>
      <c r="E66" s="2">
        <v>19.39</v>
      </c>
      <c r="F66" s="2">
        <v>375.92</v>
      </c>
      <c r="G66" s="2">
        <v>91.25</v>
      </c>
      <c r="H66" s="2">
        <v>1.94</v>
      </c>
      <c r="I66" s="2">
        <v>12.42</v>
      </c>
      <c r="J66" s="2">
        <v>71.48</v>
      </c>
      <c r="K66" s="2">
        <v>22.88</v>
      </c>
      <c r="L66" s="2">
        <v>2.14</v>
      </c>
      <c r="M66" s="2">
        <v>17.89</v>
      </c>
      <c r="N66" s="2">
        <v>59.48</v>
      </c>
      <c r="O66" s="2">
        <v>25.3</v>
      </c>
      <c r="P66" s="2">
        <v>68.680000000000007</v>
      </c>
      <c r="Q66" s="2">
        <f t="shared" si="0"/>
        <v>8.287339742040265</v>
      </c>
      <c r="R66" s="2">
        <v>32.756759082479803</v>
      </c>
      <c r="S66" s="2">
        <v>26.01</v>
      </c>
    </row>
    <row r="67" spans="1:19" x14ac:dyDescent="0.25">
      <c r="A67" s="2">
        <v>66</v>
      </c>
      <c r="B67" s="2" t="s">
        <v>85</v>
      </c>
      <c r="C67" s="2">
        <v>46</v>
      </c>
      <c r="D67" s="2">
        <v>17.78</v>
      </c>
      <c r="E67" s="2">
        <v>5.58</v>
      </c>
      <c r="F67" s="2">
        <v>31.16</v>
      </c>
      <c r="G67" s="2">
        <v>31.39</v>
      </c>
      <c r="H67" s="2">
        <v>5.82</v>
      </c>
      <c r="I67" s="2">
        <v>43.44</v>
      </c>
      <c r="J67" s="2">
        <v>75.599999999999994</v>
      </c>
      <c r="K67" s="2">
        <v>13.24</v>
      </c>
      <c r="L67" s="2">
        <v>0.78</v>
      </c>
      <c r="M67" s="2">
        <v>12.22</v>
      </c>
      <c r="N67" s="2">
        <v>36.79</v>
      </c>
      <c r="O67" s="2">
        <v>17.09</v>
      </c>
      <c r="P67" s="2">
        <v>22.7</v>
      </c>
      <c r="Q67" s="2">
        <f t="shared" ref="Q67:Q76" si="1">SQRT(P67)</f>
        <v>4.7644516998286379</v>
      </c>
      <c r="R67" s="2">
        <v>27.870494892427399</v>
      </c>
      <c r="S67" s="2">
        <v>15.64</v>
      </c>
    </row>
    <row r="68" spans="1:19" x14ac:dyDescent="0.25">
      <c r="A68" s="2">
        <v>67</v>
      </c>
      <c r="B68" s="2" t="s">
        <v>86</v>
      </c>
      <c r="C68" s="2">
        <v>25</v>
      </c>
      <c r="D68" s="2">
        <v>17.61</v>
      </c>
      <c r="E68" s="2">
        <v>12.81</v>
      </c>
      <c r="F68" s="2">
        <v>164.07</v>
      </c>
      <c r="G68" s="2">
        <v>72.75</v>
      </c>
      <c r="H68" s="2">
        <v>3.34</v>
      </c>
      <c r="I68" s="2">
        <v>14.53</v>
      </c>
      <c r="J68" s="2">
        <v>68.97</v>
      </c>
      <c r="K68" s="2">
        <v>0.04</v>
      </c>
      <c r="L68" s="2">
        <v>22.37</v>
      </c>
      <c r="M68" s="2">
        <v>13.41</v>
      </c>
      <c r="N68" s="2">
        <v>35.31</v>
      </c>
      <c r="O68" s="2">
        <v>28.22</v>
      </c>
      <c r="P68" s="2">
        <v>114.87</v>
      </c>
      <c r="Q68" s="2">
        <f t="shared" si="1"/>
        <v>10.717742299570372</v>
      </c>
      <c r="R68" s="2">
        <v>37.978509790853401</v>
      </c>
      <c r="S68" s="2">
        <v>32.47</v>
      </c>
    </row>
    <row r="69" spans="1:19" x14ac:dyDescent="0.25">
      <c r="A69" s="2">
        <v>68</v>
      </c>
      <c r="B69" s="2" t="s">
        <v>87</v>
      </c>
      <c r="C69" s="2">
        <v>52</v>
      </c>
      <c r="D69" s="2">
        <v>28.93</v>
      </c>
      <c r="E69" s="2">
        <v>10.4</v>
      </c>
      <c r="F69" s="2">
        <v>108.09</v>
      </c>
      <c r="G69" s="2">
        <v>35.94</v>
      </c>
      <c r="H69" s="2">
        <v>1.48</v>
      </c>
      <c r="I69" s="2">
        <v>13.92</v>
      </c>
      <c r="J69" s="2">
        <v>68.48</v>
      </c>
      <c r="K69" s="2">
        <v>26.48</v>
      </c>
      <c r="L69" s="2">
        <v>0.81</v>
      </c>
      <c r="M69" s="2">
        <v>12.9</v>
      </c>
      <c r="N69" s="2">
        <v>36.729999999999997</v>
      </c>
      <c r="O69" s="2">
        <v>22.83</v>
      </c>
      <c r="P69" s="2">
        <v>44.86</v>
      </c>
      <c r="Q69" s="2">
        <f t="shared" si="1"/>
        <v>6.6977608198561409</v>
      </c>
      <c r="R69" s="2">
        <v>29.331278539330199</v>
      </c>
      <c r="S69" s="2">
        <v>19.13</v>
      </c>
    </row>
    <row r="70" spans="1:19" x14ac:dyDescent="0.25">
      <c r="A70" s="2">
        <v>69</v>
      </c>
      <c r="B70" s="2" t="s">
        <v>88</v>
      </c>
      <c r="C70" s="2">
        <v>26</v>
      </c>
      <c r="D70" s="2">
        <v>44.79</v>
      </c>
      <c r="E70" s="2">
        <v>13.74</v>
      </c>
      <c r="F70" s="2">
        <v>188.76</v>
      </c>
      <c r="G70" s="2">
        <v>30.67</v>
      </c>
      <c r="H70" s="2">
        <v>0.87</v>
      </c>
      <c r="I70" s="2">
        <v>16.88</v>
      </c>
      <c r="J70" s="2">
        <v>64.03</v>
      </c>
      <c r="K70" s="2">
        <v>22.64</v>
      </c>
      <c r="L70" s="2">
        <v>20.67</v>
      </c>
      <c r="M70" s="2">
        <v>12.82</v>
      </c>
      <c r="N70" s="2">
        <v>38.119999999999997</v>
      </c>
      <c r="O70" s="2">
        <v>39.520000000000003</v>
      </c>
      <c r="P70" s="2">
        <v>115.89</v>
      </c>
      <c r="Q70" s="2">
        <f t="shared" si="1"/>
        <v>10.765221781273249</v>
      </c>
      <c r="R70" s="2">
        <v>27.242511893377198</v>
      </c>
      <c r="S70" s="2">
        <v>37.68</v>
      </c>
    </row>
    <row r="71" spans="1:19" x14ac:dyDescent="0.25">
      <c r="A71" s="2">
        <v>70</v>
      </c>
      <c r="B71" s="2" t="s">
        <v>89</v>
      </c>
      <c r="C71" s="2">
        <v>41</v>
      </c>
      <c r="D71" s="2">
        <v>3.95</v>
      </c>
      <c r="E71" s="2">
        <v>2.69</v>
      </c>
      <c r="F71" s="2">
        <v>7.23</v>
      </c>
      <c r="G71" s="2">
        <v>68.12</v>
      </c>
      <c r="H71" s="2">
        <v>1.37</v>
      </c>
      <c r="I71" s="2">
        <v>15.11</v>
      </c>
      <c r="J71" s="2">
        <v>70.81</v>
      </c>
      <c r="K71" s="2">
        <v>15.84</v>
      </c>
      <c r="L71" s="2">
        <v>0.01</v>
      </c>
      <c r="M71" s="2">
        <v>13.35</v>
      </c>
      <c r="N71" s="2">
        <v>44.77</v>
      </c>
      <c r="O71" s="2">
        <v>5.12</v>
      </c>
      <c r="P71" s="2">
        <v>6.68</v>
      </c>
      <c r="Q71" s="2">
        <f t="shared" si="1"/>
        <v>2.584569596664017</v>
      </c>
      <c r="R71" s="2">
        <v>50.514126862198502</v>
      </c>
      <c r="S71" s="2">
        <v>15.76</v>
      </c>
    </row>
    <row r="72" spans="1:19" x14ac:dyDescent="0.25">
      <c r="A72" s="2">
        <v>71</v>
      </c>
      <c r="B72" s="2" t="s">
        <v>90</v>
      </c>
      <c r="C72" s="2">
        <v>36</v>
      </c>
      <c r="D72" s="2">
        <v>3.9</v>
      </c>
      <c r="E72" s="2">
        <v>2.52</v>
      </c>
      <c r="F72" s="2">
        <v>6.37</v>
      </c>
      <c r="G72" s="2">
        <v>64.63</v>
      </c>
      <c r="H72" s="2">
        <v>0.87</v>
      </c>
      <c r="I72" s="2">
        <v>20.059999999999999</v>
      </c>
      <c r="J72" s="2">
        <v>61.02</v>
      </c>
      <c r="K72" s="2">
        <v>17.7</v>
      </c>
      <c r="L72" s="2">
        <v>0.01</v>
      </c>
      <c r="M72" s="2">
        <v>10.99</v>
      </c>
      <c r="N72" s="2">
        <v>56.7</v>
      </c>
      <c r="O72" s="2">
        <v>5.05</v>
      </c>
      <c r="P72" s="2">
        <v>5.95</v>
      </c>
      <c r="Q72" s="2">
        <f t="shared" si="1"/>
        <v>2.4392621835300936</v>
      </c>
      <c r="R72" s="2">
        <v>48.357452740199399</v>
      </c>
      <c r="S72" s="2">
        <v>16.829999999999998</v>
      </c>
    </row>
    <row r="73" spans="1:19" x14ac:dyDescent="0.25">
      <c r="A73" s="2">
        <v>72</v>
      </c>
      <c r="B73" s="2" t="s">
        <v>91</v>
      </c>
      <c r="C73" s="2">
        <v>39</v>
      </c>
      <c r="D73" s="2">
        <v>22.81</v>
      </c>
      <c r="E73" s="2">
        <v>14.07</v>
      </c>
      <c r="F73" s="2">
        <v>197.97</v>
      </c>
      <c r="G73" s="2">
        <v>61.67</v>
      </c>
      <c r="H73" s="2">
        <v>1.96</v>
      </c>
      <c r="I73" s="2">
        <v>30.32</v>
      </c>
      <c r="J73" s="2">
        <v>53.89</v>
      </c>
      <c r="K73" s="2">
        <v>11.09</v>
      </c>
      <c r="L73" s="2">
        <v>0</v>
      </c>
      <c r="M73" s="2">
        <v>16.59</v>
      </c>
      <c r="N73" s="2">
        <v>27.11</v>
      </c>
      <c r="O73" s="2">
        <v>15.77</v>
      </c>
      <c r="P73" s="2">
        <v>61</v>
      </c>
      <c r="Q73" s="2">
        <f t="shared" si="1"/>
        <v>7.810249675906654</v>
      </c>
      <c r="R73" s="2">
        <v>49.524579124776402</v>
      </c>
      <c r="S73" s="2">
        <v>13.43</v>
      </c>
    </row>
    <row r="74" spans="1:19" x14ac:dyDescent="0.25">
      <c r="A74" s="2">
        <v>73</v>
      </c>
      <c r="B74" s="2" t="s">
        <v>92</v>
      </c>
      <c r="C74" s="2">
        <v>55</v>
      </c>
      <c r="D74" s="2">
        <v>9.24</v>
      </c>
      <c r="E74" s="2">
        <v>7.9</v>
      </c>
      <c r="F74" s="2">
        <v>62.42</v>
      </c>
      <c r="G74" s="2">
        <v>85.48</v>
      </c>
      <c r="H74" s="2">
        <v>4.3499999999999996</v>
      </c>
      <c r="I74" s="2">
        <v>23.81</v>
      </c>
      <c r="J74" s="2">
        <v>69.72</v>
      </c>
      <c r="K74" s="2">
        <v>21.92</v>
      </c>
      <c r="L74" s="2">
        <v>0.01</v>
      </c>
      <c r="M74" s="2">
        <v>14.61</v>
      </c>
      <c r="N74" s="2">
        <v>39.57</v>
      </c>
      <c r="O74" s="2">
        <v>14.32</v>
      </c>
      <c r="P74" s="2">
        <v>34.619999999999997</v>
      </c>
      <c r="Q74" s="2">
        <f t="shared" si="1"/>
        <v>5.8838762733422598</v>
      </c>
      <c r="R74" s="2">
        <v>41.083266298673102</v>
      </c>
      <c r="S74" s="2">
        <v>19.670000000000002</v>
      </c>
    </row>
    <row r="75" spans="1:19" x14ac:dyDescent="0.25">
      <c r="A75" s="2">
        <v>74</v>
      </c>
      <c r="B75" s="2" t="s">
        <v>93</v>
      </c>
      <c r="C75" s="2">
        <v>74</v>
      </c>
      <c r="D75" s="2">
        <v>26.81</v>
      </c>
      <c r="E75" s="2">
        <v>8.32</v>
      </c>
      <c r="F75" s="2">
        <v>69.3</v>
      </c>
      <c r="G75" s="2">
        <v>31.05</v>
      </c>
      <c r="H75" s="2">
        <v>1.51</v>
      </c>
      <c r="I75" s="2">
        <v>20.98</v>
      </c>
      <c r="J75" s="2">
        <v>55</v>
      </c>
      <c r="K75" s="2">
        <v>16.559999999999999</v>
      </c>
      <c r="L75" s="2">
        <v>0</v>
      </c>
      <c r="M75" s="2">
        <v>11.95</v>
      </c>
      <c r="N75" s="2">
        <v>48.09</v>
      </c>
      <c r="O75" s="2">
        <v>21.33</v>
      </c>
      <c r="P75" s="2">
        <v>37.619999999999997</v>
      </c>
      <c r="Q75" s="2">
        <f t="shared" si="1"/>
        <v>6.1335144900782614</v>
      </c>
      <c r="R75" s="2">
        <v>28.759124420671998</v>
      </c>
      <c r="S75" s="2">
        <v>16.12</v>
      </c>
    </row>
    <row r="76" spans="1:19" x14ac:dyDescent="0.25">
      <c r="A76" s="2">
        <v>75</v>
      </c>
      <c r="B76" s="2" t="s">
        <v>94</v>
      </c>
      <c r="C76" s="2">
        <v>8</v>
      </c>
      <c r="D76" s="2">
        <v>3.69</v>
      </c>
      <c r="E76" s="2">
        <v>4.38</v>
      </c>
      <c r="F76" s="2">
        <v>19.2</v>
      </c>
      <c r="G76" s="2">
        <v>118.71</v>
      </c>
      <c r="H76" s="2">
        <v>1.54</v>
      </c>
      <c r="I76" s="2">
        <v>3.89</v>
      </c>
      <c r="J76" s="2">
        <v>59.14</v>
      </c>
      <c r="K76" s="2">
        <v>24.98</v>
      </c>
      <c r="L76" s="2">
        <v>0.01</v>
      </c>
      <c r="M76" s="2">
        <v>14.65</v>
      </c>
      <c r="N76" s="2">
        <v>35.06</v>
      </c>
      <c r="O76" s="2">
        <v>7.17</v>
      </c>
      <c r="P76" s="2">
        <v>15.79</v>
      </c>
      <c r="Q76" s="2">
        <f t="shared" si="1"/>
        <v>3.9736632972611052</v>
      </c>
      <c r="R76" s="2">
        <v>55.406351784260401</v>
      </c>
      <c r="S76" s="2">
        <v>19.100000000000001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Lab 2026-2</dc:creator>
  <cp:lastModifiedBy>RS Lab 2026-2</cp:lastModifiedBy>
  <dcterms:created xsi:type="dcterms:W3CDTF">2026-09-21T09:30:26Z</dcterms:created>
  <dcterms:modified xsi:type="dcterms:W3CDTF">2026-09-21T09:31:03Z</dcterms:modified>
</cp:coreProperties>
</file>